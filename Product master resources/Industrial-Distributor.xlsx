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ial" sheetId="1" r:id="rId5"/>
  </sheets>
  <definedNames/>
  <calcPr/>
</workbook>
</file>

<file path=xl/sharedStrings.xml><?xml version="1.0" encoding="utf-8"?>
<sst xmlns="http://schemas.openxmlformats.org/spreadsheetml/2006/main" count="5" uniqueCount="5">
  <si>
    <t>Item</t>
  </si>
  <si>
    <t>Price per Liter
 ( In 20 liter bucket)</t>
  </si>
  <si>
    <t>Price per Liter
 ( In 26 liter cane)</t>
  </si>
  <si>
    <t>Price per Liter
 ( In 50 liter cane)</t>
  </si>
  <si>
    <t>Price per Liter
 ( In 210 liter barrel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</si>
</sst>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horizontal="center"/>
    </xf>
    <xf borderId="0" fillId="3" fontId="2" numFmtId="0" xfId="0" applyFont="1"/>
    <xf borderId="0" fillId="3" fontId="2" numFmtId="0" xfId="0" applyAlignment="1" applyFont="1">
      <alignment horizontal="center"/>
    </xf>
    <xf borderId="0" fillId="2" fontId="3" numFmtId="0" xfId="0" applyFont="1"/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0</xdr:row>
      <xdr:rowOff>57150</xdr:rowOff>
    </xdr:from>
    <xdr:ext cx="5695950" cy="1724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5.25"/>
    <col customWidth="1" min="3" max="4" width="14.0"/>
    <col customWidth="1" min="5" max="5" width="16.0"/>
  </cols>
  <sheetData>
    <row r="1" ht="144.75" customHeight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hidden="1">
      <c r="A3" s="4" t="str">
        <f>IFERROR(__xludf.DUMMYFUNCTION("QUERY(IMPORTRANGE(""1ZsMucvhfwwrY0viT-rWohx2CwUxsFeu82gTOjXP5Adw"",""'TF Price LIst'!A12:H""),""Select Col1, Col5, Col6, Col7, Col8 Where Col2 Contains 'Industrial'"")")," Item")</f>
        <v> Item</v>
      </c>
      <c r="B3" s="5" t="str">
        <f>IFERROR(__xludf.DUMMYFUNCTION("""COMPUTED_VALUE"""),"Price per Liter
 ( In 20 liter bucket)")</f>
        <v>Price per Liter
 ( In 20 liter bucket)</v>
      </c>
      <c r="C3" s="5" t="str">
        <f>IFERROR(__xludf.DUMMYFUNCTION("""COMPUTED_VALUE"""),"Price per Liter
 ( In 26 liter cane)")</f>
        <v>Price per Liter
 ( In 26 liter cane)</v>
      </c>
      <c r="D3" s="5" t="str">
        <f>IFERROR(__xludf.DUMMYFUNCTION("""COMPUTED_VALUE""")," Price per Liter
 ( In 50 liter cane)")</f>
        <v> Price per Liter
 ( In 50 liter cane)</v>
      </c>
      <c r="E3" s="5" t="str">
        <f>IFERROR(__xludf.DUMMYFUNCTION("""COMPUTED_VALUE""")," Price per Liter
 ( In 210 liter barrel )")</f>
        <v> Price per Liter
 ( In 210 liter barrel )</v>
      </c>
    </row>
    <row r="4">
      <c r="A4" s="6" t="str">
        <f>IFERROR(__xludf.DUMMYFUNCTION("""COMPUTED_VALUE"""),"Gear EP 150")</f>
        <v>Gear EP 150</v>
      </c>
      <c r="B4" s="7" t="str">
        <f>IFERROR(__xludf.DUMMYFUNCTION("""COMPUTED_VALUE"""),"113")</f>
        <v>113</v>
      </c>
      <c r="C4" s="7" t="str">
        <f>IFERROR(__xludf.DUMMYFUNCTION("""COMPUTED_VALUE"""),"113")</f>
        <v>113</v>
      </c>
      <c r="D4" s="7">
        <f>IFERROR(__xludf.DUMMYFUNCTION("""COMPUTED_VALUE"""),113.0)</f>
        <v>113</v>
      </c>
      <c r="E4" s="7" t="str">
        <f>IFERROR(__xludf.DUMMYFUNCTION("""COMPUTED_VALUE"""),"109")</f>
        <v>109</v>
      </c>
    </row>
    <row r="5">
      <c r="A5" s="6" t="str">
        <f>IFERROR(__xludf.DUMMYFUNCTION("""COMPUTED_VALUE"""),"Gear EP 220")</f>
        <v>Gear EP 220</v>
      </c>
      <c r="B5" s="7" t="str">
        <f>IFERROR(__xludf.DUMMYFUNCTION("""COMPUTED_VALUE"""),"115")</f>
        <v>115</v>
      </c>
      <c r="C5" s="7" t="str">
        <f>IFERROR(__xludf.DUMMYFUNCTION("""COMPUTED_VALUE"""),"114")</f>
        <v>114</v>
      </c>
      <c r="D5" s="7">
        <f>IFERROR(__xludf.DUMMYFUNCTION("""COMPUTED_VALUE"""),115.0)</f>
        <v>115</v>
      </c>
      <c r="E5" s="7" t="str">
        <f>IFERROR(__xludf.DUMMYFUNCTION("""COMPUTED_VALUE"""),"111")</f>
        <v>111</v>
      </c>
    </row>
    <row r="6">
      <c r="A6" s="6" t="str">
        <f>IFERROR(__xludf.DUMMYFUNCTION("""COMPUTED_VALUE"""),"Gear EP 320")</f>
        <v>Gear EP 320</v>
      </c>
      <c r="B6" s="7" t="str">
        <f>IFERROR(__xludf.DUMMYFUNCTION("""COMPUTED_VALUE"""),"118")</f>
        <v>118</v>
      </c>
      <c r="C6" s="7" t="str">
        <f>IFERROR(__xludf.DUMMYFUNCTION("""COMPUTED_VALUE"""),"117")</f>
        <v>117</v>
      </c>
      <c r="D6" s="7">
        <f>IFERROR(__xludf.DUMMYFUNCTION("""COMPUTED_VALUE"""),118.0)</f>
        <v>118</v>
      </c>
      <c r="E6" s="7" t="str">
        <f>IFERROR(__xludf.DUMMYFUNCTION("""COMPUTED_VALUE"""),"114")</f>
        <v>114</v>
      </c>
    </row>
    <row r="7">
      <c r="A7" s="6" t="str">
        <f>IFERROR(__xludf.DUMMYFUNCTION("""COMPUTED_VALUE"""),"Gear EP 460")</f>
        <v>Gear EP 460</v>
      </c>
      <c r="B7" s="7" t="str">
        <f>IFERROR(__xludf.DUMMYFUNCTION("""COMPUTED_VALUE"""),"121")</f>
        <v>121</v>
      </c>
      <c r="C7" s="7" t="str">
        <f>IFERROR(__xludf.DUMMYFUNCTION("""COMPUTED_VALUE"""),"121")</f>
        <v>121</v>
      </c>
      <c r="D7" s="7">
        <f>IFERROR(__xludf.DUMMYFUNCTION("""COMPUTED_VALUE"""),121.0)</f>
        <v>121</v>
      </c>
      <c r="E7" s="7" t="str">
        <f>IFERROR(__xludf.DUMMYFUNCTION("""COMPUTED_VALUE"""),"117")</f>
        <v>117</v>
      </c>
    </row>
    <row r="8">
      <c r="A8" s="6" t="str">
        <f>IFERROR(__xludf.DUMMYFUNCTION("""COMPUTED_VALUE"""),"Gear Lube EP 150")</f>
        <v>Gear Lube EP 150</v>
      </c>
      <c r="B8" s="7" t="str">
        <f>IFERROR(__xludf.DUMMYFUNCTION("""COMPUTED_VALUE"""),"100")</f>
        <v>100</v>
      </c>
      <c r="C8" s="7" t="str">
        <f>IFERROR(__xludf.DUMMYFUNCTION("""COMPUTED_VALUE"""),"99")</f>
        <v>99</v>
      </c>
      <c r="D8" s="7">
        <f>IFERROR(__xludf.DUMMYFUNCTION("""COMPUTED_VALUE"""),100.0)</f>
        <v>100</v>
      </c>
      <c r="E8" s="7" t="str">
        <f>IFERROR(__xludf.DUMMYFUNCTION("""COMPUTED_VALUE"""),"96")</f>
        <v>96</v>
      </c>
    </row>
    <row r="9">
      <c r="A9" s="6" t="str">
        <f>IFERROR(__xludf.DUMMYFUNCTION("""COMPUTED_VALUE"""),"Gear Lube  EP 220")</f>
        <v>Gear Lube  EP 220</v>
      </c>
      <c r="B9" s="7" t="str">
        <f>IFERROR(__xludf.DUMMYFUNCTION("""COMPUTED_VALUE"""),"102")</f>
        <v>102</v>
      </c>
      <c r="C9" s="7" t="str">
        <f>IFERROR(__xludf.DUMMYFUNCTION("""COMPUTED_VALUE"""),"101")</f>
        <v>101</v>
      </c>
      <c r="D9" s="7">
        <f>IFERROR(__xludf.DUMMYFUNCTION("""COMPUTED_VALUE"""),102.0)</f>
        <v>102</v>
      </c>
      <c r="E9" s="7" t="str">
        <f>IFERROR(__xludf.DUMMYFUNCTION("""COMPUTED_VALUE"""),"97")</f>
        <v>97</v>
      </c>
    </row>
    <row r="10">
      <c r="A10" s="6" t="str">
        <f>IFERROR(__xludf.DUMMYFUNCTION("""COMPUTED_VALUE"""),"Gear Lube EP 320")</f>
        <v>Gear Lube EP 320</v>
      </c>
      <c r="B10" s="7" t="str">
        <f>IFERROR(__xludf.DUMMYFUNCTION("""COMPUTED_VALUE"""),"103")</f>
        <v>103</v>
      </c>
      <c r="C10" s="7" t="str">
        <f>IFERROR(__xludf.DUMMYFUNCTION("""COMPUTED_VALUE"""),"103")</f>
        <v>103</v>
      </c>
      <c r="D10" s="7">
        <f>IFERROR(__xludf.DUMMYFUNCTION("""COMPUTED_VALUE"""),103.0)</f>
        <v>103</v>
      </c>
      <c r="E10" s="7" t="str">
        <f>IFERROR(__xludf.DUMMYFUNCTION("""COMPUTED_VALUE"""),"99")</f>
        <v>99</v>
      </c>
    </row>
    <row r="11">
      <c r="A11" s="6" t="str">
        <f>IFERROR(__xludf.DUMMYFUNCTION("""COMPUTED_VALUE"""),"Gear Lube EP 460")</f>
        <v>Gear Lube EP 460</v>
      </c>
      <c r="B11" s="7" t="str">
        <f>IFERROR(__xludf.DUMMYFUNCTION("""COMPUTED_VALUE"""),"107")</f>
        <v>107</v>
      </c>
      <c r="C11" s="7" t="str">
        <f>IFERROR(__xludf.DUMMYFUNCTION("""COMPUTED_VALUE"""),"107")</f>
        <v>107</v>
      </c>
      <c r="D11" s="7">
        <f>IFERROR(__xludf.DUMMYFUNCTION("""COMPUTED_VALUE"""),107.0)</f>
        <v>107</v>
      </c>
      <c r="E11" s="7" t="str">
        <f>IFERROR(__xludf.DUMMYFUNCTION("""COMPUTED_VALUE"""),"103")</f>
        <v>103</v>
      </c>
    </row>
    <row r="12">
      <c r="A12" s="6" t="str">
        <f>IFERROR(__xludf.DUMMYFUNCTION("""COMPUTED_VALUE"""),"Lube 150")</f>
        <v>Lube 150</v>
      </c>
      <c r="B12" s="7" t="str">
        <f>IFERROR(__xludf.DUMMYFUNCTION("""COMPUTED_VALUE"""),"95")</f>
        <v>95</v>
      </c>
      <c r="C12" s="7" t="str">
        <f>IFERROR(__xludf.DUMMYFUNCTION("""COMPUTED_VALUE"""),"94")</f>
        <v>94</v>
      </c>
      <c r="D12" s="7">
        <f>IFERROR(__xludf.DUMMYFUNCTION("""COMPUTED_VALUE"""),95.0)</f>
        <v>95</v>
      </c>
      <c r="E12" s="7" t="str">
        <f>IFERROR(__xludf.DUMMYFUNCTION("""COMPUTED_VALUE"""),"91")</f>
        <v>91</v>
      </c>
    </row>
    <row r="13">
      <c r="A13" s="6" t="str">
        <f>IFERROR(__xludf.DUMMYFUNCTION("""COMPUTED_VALUE"""),"Lube 220")</f>
        <v>Lube 220</v>
      </c>
      <c r="B13" s="7" t="str">
        <f>IFERROR(__xludf.DUMMYFUNCTION("""COMPUTED_VALUE"""),"97")</f>
        <v>97</v>
      </c>
      <c r="C13" s="7" t="str">
        <f>IFERROR(__xludf.DUMMYFUNCTION("""COMPUTED_VALUE"""),"96")</f>
        <v>96</v>
      </c>
      <c r="D13" s="7">
        <f>IFERROR(__xludf.DUMMYFUNCTION("""COMPUTED_VALUE"""),97.0)</f>
        <v>97</v>
      </c>
      <c r="E13" s="7" t="str">
        <f>IFERROR(__xludf.DUMMYFUNCTION("""COMPUTED_VALUE"""),"93")</f>
        <v>93</v>
      </c>
    </row>
    <row r="14">
      <c r="A14" s="6" t="str">
        <f>IFERROR(__xludf.DUMMYFUNCTION("""COMPUTED_VALUE"""),"Lube 320")</f>
        <v>Lube 320</v>
      </c>
      <c r="B14" s="7" t="str">
        <f>IFERROR(__xludf.DUMMYFUNCTION("""COMPUTED_VALUE"""),"99")</f>
        <v>99</v>
      </c>
      <c r="C14" s="7" t="str">
        <f>IFERROR(__xludf.DUMMYFUNCTION("""COMPUTED_VALUE"""),"98")</f>
        <v>98</v>
      </c>
      <c r="D14" s="7">
        <f>IFERROR(__xludf.DUMMYFUNCTION("""COMPUTED_VALUE"""),99.0)</f>
        <v>99</v>
      </c>
      <c r="E14" s="7" t="str">
        <f>IFERROR(__xludf.DUMMYFUNCTION("""COMPUTED_VALUE"""),"95")</f>
        <v>95</v>
      </c>
    </row>
    <row r="15">
      <c r="A15" s="6" t="str">
        <f>IFERROR(__xludf.DUMMYFUNCTION("""COMPUTED_VALUE"""),"Lube 460")</f>
        <v>Lube 460</v>
      </c>
      <c r="B15" s="7" t="str">
        <f>IFERROR(__xludf.DUMMYFUNCTION("""COMPUTED_VALUE"""),"102")</f>
        <v>102</v>
      </c>
      <c r="C15" s="7" t="str">
        <f>IFERROR(__xludf.DUMMYFUNCTION("""COMPUTED_VALUE"""),"102")</f>
        <v>102</v>
      </c>
      <c r="D15" s="7">
        <f>IFERROR(__xludf.DUMMYFUNCTION("""COMPUTED_VALUE"""),102.0)</f>
        <v>102</v>
      </c>
      <c r="E15" s="7" t="str">
        <f>IFERROR(__xludf.DUMMYFUNCTION("""COMPUTED_VALUE"""),"98")</f>
        <v>98</v>
      </c>
    </row>
    <row r="16">
      <c r="A16" s="6" t="str">
        <f>IFERROR(__xludf.DUMMYFUNCTION("""COMPUTED_VALUE"""),"Transformer Oil")</f>
        <v>Transformer Oil</v>
      </c>
      <c r="B16" s="7" t="str">
        <f>IFERROR(__xludf.DUMMYFUNCTION("""COMPUTED_VALUE"""),"94")</f>
        <v>94</v>
      </c>
      <c r="C16" s="7" t="str">
        <f>IFERROR(__xludf.DUMMYFUNCTION("""COMPUTED_VALUE"""),"94")</f>
        <v>94</v>
      </c>
      <c r="D16" s="7">
        <f>IFERROR(__xludf.DUMMYFUNCTION("""COMPUTED_VALUE"""),94.0)</f>
        <v>94</v>
      </c>
      <c r="E16" s="7" t="str">
        <f>IFERROR(__xludf.DUMMYFUNCTION("""COMPUTED_VALUE"""),"90")</f>
        <v>90</v>
      </c>
    </row>
    <row r="17">
      <c r="A17" s="6" t="str">
        <f>IFERROR(__xludf.DUMMYFUNCTION("""COMPUTED_VALUE"""),"Submersible Motor Oil")</f>
        <v>Submersible Motor Oil</v>
      </c>
      <c r="B17" s="7" t="str">
        <f>IFERROR(__xludf.DUMMYFUNCTION("""COMPUTED_VALUE"""),"-")</f>
        <v>-</v>
      </c>
      <c r="C17" s="7" t="str">
        <f>IFERROR(__xludf.DUMMYFUNCTION("""COMPUTED_VALUE"""),"97")</f>
        <v>97</v>
      </c>
      <c r="D17" s="7">
        <f>IFERROR(__xludf.DUMMYFUNCTION("""COMPUTED_VALUE"""),97.0)</f>
        <v>97</v>
      </c>
      <c r="E17" s="7" t="str">
        <f>IFERROR(__xludf.DUMMYFUNCTION("""COMPUTED_VALUE"""),"93")</f>
        <v>93</v>
      </c>
    </row>
    <row r="18">
      <c r="A18" s="6" t="str">
        <f>IFERROR(__xludf.DUMMYFUNCTION("""COMPUTED_VALUE"""),"Air Compressor Oil")</f>
        <v>Air Compressor Oil</v>
      </c>
      <c r="B18" s="7" t="str">
        <f>IFERROR(__xludf.DUMMYFUNCTION("""COMPUTED_VALUE"""),"-")</f>
        <v>-</v>
      </c>
      <c r="C18" s="7" t="str">
        <f>IFERROR(__xludf.DUMMYFUNCTION("""COMPUTED_VALUE"""),"120")</f>
        <v>120</v>
      </c>
      <c r="D18" s="7">
        <f>IFERROR(__xludf.DUMMYFUNCTION("""COMPUTED_VALUE"""),121.0)</f>
        <v>121</v>
      </c>
      <c r="E18" s="7" t="str">
        <f>IFERROR(__xludf.DUMMYFUNCTION("""COMPUTED_VALUE"""),"117")</f>
        <v>117</v>
      </c>
    </row>
    <row r="19">
      <c r="A19" s="6" t="str">
        <f>IFERROR(__xludf.DUMMYFUNCTION("""COMPUTED_VALUE"""),"Refrigeration Oil")</f>
        <v>Refrigeration Oil</v>
      </c>
      <c r="B19" s="7" t="str">
        <f>IFERROR(__xludf.DUMMYFUNCTION("""COMPUTED_VALUE"""),"-")</f>
        <v>-</v>
      </c>
      <c r="C19" s="7" t="str">
        <f>IFERROR(__xludf.DUMMYFUNCTION("""COMPUTED_VALUE"""),"121")</f>
        <v>121</v>
      </c>
      <c r="D19" s="7">
        <f>IFERROR(__xludf.DUMMYFUNCTION("""COMPUTED_VALUE"""),122.0)</f>
        <v>122</v>
      </c>
      <c r="E19" s="7" t="str">
        <f>IFERROR(__xludf.DUMMYFUNCTION("""COMPUTED_VALUE"""),"118")</f>
        <v>118</v>
      </c>
    </row>
    <row r="20">
      <c r="A20" s="6" t="str">
        <f>IFERROR(__xludf.DUMMYFUNCTION("""COMPUTED_VALUE"""),"Quenching Oil( Group 1)")</f>
        <v>Quenching Oil( Group 1)</v>
      </c>
      <c r="B20" s="7" t="str">
        <f>IFERROR(__xludf.DUMMYFUNCTION("""COMPUTED_VALUE"""),"-")</f>
        <v>-</v>
      </c>
      <c r="C20" s="7" t="str">
        <f>IFERROR(__xludf.DUMMYFUNCTION("""COMPUTED_VALUE"""),"87")</f>
        <v>87</v>
      </c>
      <c r="D20" s="7">
        <f>IFERROR(__xludf.DUMMYFUNCTION("""COMPUTED_VALUE"""),87.0)</f>
        <v>87</v>
      </c>
      <c r="E20" s="7" t="str">
        <f>IFERROR(__xludf.DUMMYFUNCTION("""COMPUTED_VALUE"""),"83")</f>
        <v>83</v>
      </c>
    </row>
    <row r="21">
      <c r="A21" s="6" t="str">
        <f>IFERROR(__xludf.DUMMYFUNCTION("""COMPUTED_VALUE"""),"Quenching Oil( Group 2)")</f>
        <v>Quenching Oil( Group 2)</v>
      </c>
      <c r="B21" s="7" t="str">
        <f>IFERROR(__xludf.DUMMYFUNCTION("""COMPUTED_VALUE"""),"-")</f>
        <v>-</v>
      </c>
      <c r="C21" s="7" t="str">
        <f>IFERROR(__xludf.DUMMYFUNCTION("""COMPUTED_VALUE"""),"95")</f>
        <v>95</v>
      </c>
      <c r="D21" s="7">
        <f>IFERROR(__xludf.DUMMYFUNCTION("""COMPUTED_VALUE"""),95.0)</f>
        <v>95</v>
      </c>
      <c r="E21" s="7" t="str">
        <f>IFERROR(__xludf.DUMMYFUNCTION("""COMPUTED_VALUE"""),"91")</f>
        <v>91</v>
      </c>
    </row>
    <row r="22">
      <c r="A22" s="6" t="str">
        <f>IFERROR(__xludf.DUMMYFUNCTION("""COMPUTED_VALUE"""),"Rust preventive oil 906(solvent &amp; Oil)")</f>
        <v>Rust preventive oil 906(solvent &amp; Oil)</v>
      </c>
      <c r="B22" s="7" t="str">
        <f>IFERROR(__xludf.DUMMYFUNCTION("""COMPUTED_VALUE"""),"-")</f>
        <v>-</v>
      </c>
      <c r="C22" s="7" t="str">
        <f>IFERROR(__xludf.DUMMYFUNCTION("""COMPUTED_VALUE"""),"115")</f>
        <v>115</v>
      </c>
      <c r="D22" s="7">
        <f>IFERROR(__xludf.DUMMYFUNCTION("""COMPUTED_VALUE"""),115.0)</f>
        <v>115</v>
      </c>
      <c r="E22" s="7" t="str">
        <f>IFERROR(__xludf.DUMMYFUNCTION("""COMPUTED_VALUE"""),"111")</f>
        <v>111</v>
      </c>
    </row>
    <row r="23">
      <c r="A23" s="6" t="str">
        <f>IFERROR(__xludf.DUMMYFUNCTION("""COMPUTED_VALUE"""),"Knitting oil 22/32 ( water soluble)")</f>
        <v>Knitting oil 22/32 ( water soluble)</v>
      </c>
      <c r="B23" s="7" t="str">
        <f>IFERROR(__xludf.DUMMYFUNCTION("""COMPUTED_VALUE"""),"-")</f>
        <v>-</v>
      </c>
      <c r="C23" s="7" t="str">
        <f>IFERROR(__xludf.DUMMYFUNCTION("""COMPUTED_VALUE"""),"105")</f>
        <v>105</v>
      </c>
      <c r="D23" s="7">
        <f>IFERROR(__xludf.DUMMYFUNCTION("""COMPUTED_VALUE"""),106.0)</f>
        <v>106</v>
      </c>
      <c r="E23" s="7" t="str">
        <f>IFERROR(__xludf.DUMMYFUNCTION("""COMPUTED_VALUE"""),"102")</f>
        <v>102</v>
      </c>
    </row>
    <row r="24">
      <c r="A24" s="6" t="str">
        <f>IFERROR(__xludf.DUMMYFUNCTION("""COMPUTED_VALUE"""),"Knitting oil 22/32 ( Non washable)")</f>
        <v>Knitting oil 22/32 ( Non washable)</v>
      </c>
      <c r="B24" s="7" t="str">
        <f>IFERROR(__xludf.DUMMYFUNCTION("""COMPUTED_VALUE"""),"-")</f>
        <v>-</v>
      </c>
      <c r="C24" s="7" t="str">
        <f>IFERROR(__xludf.DUMMYFUNCTION("""COMPUTED_VALUE"""),"96")</f>
        <v>96</v>
      </c>
      <c r="D24" s="7">
        <f>IFERROR(__xludf.DUMMYFUNCTION("""COMPUTED_VALUE"""),96.0)</f>
        <v>96</v>
      </c>
      <c r="E24" s="7" t="str">
        <f>IFERROR(__xludf.DUMMYFUNCTION("""COMPUTED_VALUE"""),"92")</f>
        <v>92</v>
      </c>
    </row>
    <row r="25">
      <c r="A25" s="6" t="str">
        <f>IFERROR(__xludf.DUMMYFUNCTION("""COMPUTED_VALUE"""),"Coning Oil 22/32")</f>
        <v>Coning Oil 22/32</v>
      </c>
      <c r="B25" s="7" t="str">
        <f>IFERROR(__xludf.DUMMYFUNCTION("""COMPUTED_VALUE"""),"-")</f>
        <v>-</v>
      </c>
      <c r="C25" s="7" t="str">
        <f>IFERROR(__xludf.DUMMYFUNCTION("""COMPUTED_VALUE"""),"107")</f>
        <v>107</v>
      </c>
      <c r="D25" s="7">
        <f>IFERROR(__xludf.DUMMYFUNCTION("""COMPUTED_VALUE"""),108.0)</f>
        <v>108</v>
      </c>
      <c r="E25" s="7" t="str">
        <f>IFERROR(__xludf.DUMMYFUNCTION("""COMPUTED_VALUE"""),"104")</f>
        <v>104</v>
      </c>
    </row>
    <row r="26">
      <c r="A26" s="6" t="str">
        <f>IFERROR(__xludf.DUMMYFUNCTION("""COMPUTED_VALUE"""),"Warping Oil ")</f>
        <v>Warping Oil </v>
      </c>
      <c r="B26" s="7" t="str">
        <f>IFERROR(__xludf.DUMMYFUNCTION("""COMPUTED_VALUE"""),"-")</f>
        <v>-</v>
      </c>
      <c r="C26" s="7" t="str">
        <f>IFERROR(__xludf.DUMMYFUNCTION("""COMPUTED_VALUE"""),"107")</f>
        <v>107</v>
      </c>
      <c r="D26" s="7">
        <f>IFERROR(__xludf.DUMMYFUNCTION("""COMPUTED_VALUE"""),108.0)</f>
        <v>108</v>
      </c>
      <c r="E26" s="7" t="str">
        <f>IFERROR(__xludf.DUMMYFUNCTION("""COMPUTED_VALUE"""),"104")</f>
        <v>104</v>
      </c>
    </row>
    <row r="27">
      <c r="A27" s="6" t="str">
        <f>IFERROR(__xludf.DUMMYFUNCTION("""COMPUTED_VALUE"""),"Thermic Fluid HT 32 premium")</f>
        <v>Thermic Fluid HT 32 premium</v>
      </c>
      <c r="B27" s="7" t="str">
        <f>IFERROR(__xludf.DUMMYFUNCTION("""COMPUTED_VALUE"""),"-")</f>
        <v>-</v>
      </c>
      <c r="C27" s="7" t="str">
        <f>IFERROR(__xludf.DUMMYFUNCTION("""COMPUTED_VALUE"""),"98")</f>
        <v>98</v>
      </c>
      <c r="D27" s="7">
        <f>IFERROR(__xludf.DUMMYFUNCTION("""COMPUTED_VALUE"""),98.0)</f>
        <v>98</v>
      </c>
      <c r="E27" s="7" t="str">
        <f>IFERROR(__xludf.DUMMYFUNCTION("""COMPUTED_VALUE"""),"94")</f>
        <v>94</v>
      </c>
    </row>
    <row r="28">
      <c r="A28" s="6" t="str">
        <f>IFERROR(__xludf.DUMMYFUNCTION("""COMPUTED_VALUE"""),"Hydraulic 32(Group I)")</f>
        <v>Hydraulic 32(Group I)</v>
      </c>
      <c r="B28" s="7" t="str">
        <f>IFERROR(__xludf.DUMMYFUNCTION("""COMPUTED_VALUE"""),"88")</f>
        <v>88</v>
      </c>
      <c r="C28" s="7" t="str">
        <f>IFERROR(__xludf.DUMMYFUNCTION("""COMPUTED_VALUE"""),"87")</f>
        <v>87</v>
      </c>
      <c r="D28" s="7">
        <f>IFERROR(__xludf.DUMMYFUNCTION("""COMPUTED_VALUE"""),88.0)</f>
        <v>88</v>
      </c>
      <c r="E28" s="7" t="str">
        <f>IFERROR(__xludf.DUMMYFUNCTION("""COMPUTED_VALUE"""),"84")</f>
        <v>84</v>
      </c>
    </row>
    <row r="29">
      <c r="A29" s="6" t="str">
        <f>IFERROR(__xludf.DUMMYFUNCTION("""COMPUTED_VALUE"""),"Hydraulic  46/68 (Group I)")</f>
        <v>Hydraulic  46/68 (Group I)</v>
      </c>
      <c r="B29" s="7" t="str">
        <f>IFERROR(__xludf.DUMMYFUNCTION("""COMPUTED_VALUE"""),"90")</f>
        <v>90</v>
      </c>
      <c r="C29" s="7" t="str">
        <f>IFERROR(__xludf.DUMMYFUNCTION("""COMPUTED_VALUE"""),"89")</f>
        <v>89</v>
      </c>
      <c r="D29" s="7">
        <f>IFERROR(__xludf.DUMMYFUNCTION("""COMPUTED_VALUE"""),90.0)</f>
        <v>90</v>
      </c>
      <c r="E29" s="7" t="str">
        <f>IFERROR(__xludf.DUMMYFUNCTION("""COMPUTED_VALUE"""),"86")</f>
        <v>86</v>
      </c>
    </row>
    <row r="30">
      <c r="A30" s="6" t="str">
        <f>IFERROR(__xludf.DUMMYFUNCTION("""COMPUTED_VALUE"""),"Hydraulic HLP 32 ( Group II)")</f>
        <v>Hydraulic HLP 32 ( Group II)</v>
      </c>
      <c r="B30" s="7" t="str">
        <f>IFERROR(__xludf.DUMMYFUNCTION("""COMPUTED_VALUE"""),"97")</f>
        <v>97</v>
      </c>
      <c r="C30" s="7" t="str">
        <f>IFERROR(__xludf.DUMMYFUNCTION("""COMPUTED_VALUE"""),"96")</f>
        <v>96</v>
      </c>
      <c r="D30" s="7">
        <f>IFERROR(__xludf.DUMMYFUNCTION("""COMPUTED_VALUE"""),97.0)</f>
        <v>97</v>
      </c>
      <c r="E30" s="7" t="str">
        <f>IFERROR(__xludf.DUMMYFUNCTION("""COMPUTED_VALUE"""),"93")</f>
        <v>93</v>
      </c>
    </row>
    <row r="31">
      <c r="A31" s="6" t="str">
        <f>IFERROR(__xludf.DUMMYFUNCTION("""COMPUTED_VALUE"""),"Hydraulic HLP 46/68 (Group II)")</f>
        <v>Hydraulic HLP 46/68 (Group II)</v>
      </c>
      <c r="B31" s="7" t="str">
        <f>IFERROR(__xludf.DUMMYFUNCTION("""COMPUTED_VALUE"""),"100")</f>
        <v>100</v>
      </c>
      <c r="C31" s="7" t="str">
        <f>IFERROR(__xludf.DUMMYFUNCTION("""COMPUTED_VALUE"""),"99")</f>
        <v>99</v>
      </c>
      <c r="D31" s="7">
        <f>IFERROR(__xludf.DUMMYFUNCTION("""COMPUTED_VALUE"""),100.0)</f>
        <v>100</v>
      </c>
      <c r="E31" s="7" t="str">
        <f>IFERROR(__xludf.DUMMYFUNCTION("""COMPUTED_VALUE"""),"95")</f>
        <v>95</v>
      </c>
    </row>
    <row r="32">
      <c r="A32" s="6" t="str">
        <f>IFERROR(__xludf.DUMMYFUNCTION("""COMPUTED_VALUE"""),"Chain Oil")</f>
        <v>Chain Oil</v>
      </c>
      <c r="B32" s="7" t="str">
        <f>IFERROR(__xludf.DUMMYFUNCTION("""COMPUTED_VALUE"""),"-")</f>
        <v>-</v>
      </c>
      <c r="C32" s="7" t="str">
        <f>IFERROR(__xludf.DUMMYFUNCTION("""COMPUTED_VALUE"""),"130")</f>
        <v>130</v>
      </c>
      <c r="D32" s="7">
        <f>IFERROR(__xludf.DUMMYFUNCTION("""COMPUTED_VALUE"""),130.0)</f>
        <v>130</v>
      </c>
      <c r="E32" s="7" t="str">
        <f>IFERROR(__xludf.DUMMYFUNCTION("""COMPUTED_VALUE"""),"126")</f>
        <v>126</v>
      </c>
    </row>
    <row r="33">
      <c r="A33" s="6" t="str">
        <f>IFERROR(__xludf.DUMMYFUNCTION("""COMPUTED_VALUE"""),"Neat Cutting oil ")</f>
        <v>Neat Cutting oil </v>
      </c>
      <c r="B33" s="7" t="str">
        <f>IFERROR(__xludf.DUMMYFUNCTION("""COMPUTED_VALUE"""),"-")</f>
        <v>-</v>
      </c>
      <c r="C33" s="7" t="str">
        <f>IFERROR(__xludf.DUMMYFUNCTION("""COMPUTED_VALUE"""),"105")</f>
        <v>105</v>
      </c>
      <c r="D33" s="7">
        <f>IFERROR(__xludf.DUMMYFUNCTION("""COMPUTED_VALUE"""),106.0)</f>
        <v>106</v>
      </c>
      <c r="E33" s="7" t="str">
        <f>IFERROR(__xludf.DUMMYFUNCTION("""COMPUTED_VALUE"""),"102")</f>
        <v>102</v>
      </c>
    </row>
    <row r="34">
      <c r="A34" s="6" t="str">
        <f>IFERROR(__xludf.DUMMYFUNCTION("""COMPUTED_VALUE"""),"Neat Cutting oil  Megacut 150")</f>
        <v>Neat Cutting oil  Megacut 150</v>
      </c>
      <c r="B34" s="7" t="str">
        <f>IFERROR(__xludf.DUMMYFUNCTION("""COMPUTED_VALUE"""),"-")</f>
        <v>-</v>
      </c>
      <c r="C34" s="7" t="str">
        <f>IFERROR(__xludf.DUMMYFUNCTION("""COMPUTED_VALUE"""),"125")</f>
        <v>125</v>
      </c>
      <c r="D34" s="7">
        <f>IFERROR(__xludf.DUMMYFUNCTION("""COMPUTED_VALUE"""),126.0)</f>
        <v>126</v>
      </c>
      <c r="E34" s="7" t="str">
        <f>IFERROR(__xludf.DUMMYFUNCTION("""COMPUTED_VALUE"""),"122")</f>
        <v>122</v>
      </c>
    </row>
    <row r="35">
      <c r="A35" s="6" t="str">
        <f>IFERROR(__xludf.DUMMYFUNCTION("""COMPUTED_VALUE"""),"Cutting oil")</f>
        <v>Cutting oil</v>
      </c>
      <c r="B35" s="7" t="str">
        <f>IFERROR(__xludf.DUMMYFUNCTION("""COMPUTED_VALUE"""),"-")</f>
        <v>-</v>
      </c>
      <c r="C35" s="7" t="str">
        <f>IFERROR(__xludf.DUMMYFUNCTION("""COMPUTED_VALUE"""),"112")</f>
        <v>112</v>
      </c>
      <c r="D35" s="7">
        <f>IFERROR(__xludf.DUMMYFUNCTION("""COMPUTED_VALUE"""),112.0)</f>
        <v>112</v>
      </c>
      <c r="E35" s="7" t="str">
        <f>IFERROR(__xludf.DUMMYFUNCTION("""COMPUTED_VALUE"""),"108")</f>
        <v>108</v>
      </c>
    </row>
    <row r="36">
      <c r="A36" s="6" t="str">
        <f>IFERROR(__xludf.DUMMYFUNCTION("""COMPUTED_VALUE"""),"semi synthetic cutting oil")</f>
        <v>semi synthetic cutting oil</v>
      </c>
      <c r="B36" s="7" t="str">
        <f>IFERROR(__xludf.DUMMYFUNCTION("""COMPUTED_VALUE"""),"-")</f>
        <v>-</v>
      </c>
      <c r="C36" s="7" t="str">
        <f>IFERROR(__xludf.DUMMYFUNCTION("""COMPUTED_VALUE"""),"144")</f>
        <v>144</v>
      </c>
      <c r="D36" s="7">
        <f>IFERROR(__xludf.DUMMYFUNCTION("""COMPUTED_VALUE"""),145.0)</f>
        <v>145</v>
      </c>
      <c r="E36" s="7" t="str">
        <f>IFERROR(__xludf.DUMMYFUNCTION("""COMPUTED_VALUE"""),"141")</f>
        <v>141</v>
      </c>
    </row>
    <row r="37">
      <c r="A37" s="6" t="str">
        <f>IFERROR(__xludf.DUMMYFUNCTION("""COMPUTED_VALUE"""),"rotavator oil")</f>
        <v>rotavator oil</v>
      </c>
      <c r="B37" s="7" t="str">
        <f>IFERROR(__xludf.DUMMYFUNCTION("""COMPUTED_VALUE"""),"-")</f>
        <v>-</v>
      </c>
      <c r="C37" s="7" t="str">
        <f>IFERROR(__xludf.DUMMYFUNCTION("""COMPUTED_VALUE"""),"100")</f>
        <v>100</v>
      </c>
      <c r="D37" s="7">
        <f>IFERROR(__xludf.DUMMYFUNCTION("""COMPUTED_VALUE"""),101.0)</f>
        <v>101</v>
      </c>
      <c r="E37" s="7" t="str">
        <f>IFERROR(__xludf.DUMMYFUNCTION("""COMPUTED_VALUE"""),"96")</f>
        <v>96</v>
      </c>
    </row>
    <row r="38">
      <c r="A38" s="6" t="str">
        <f>IFERROR(__xludf.DUMMYFUNCTION("""COMPUTED_VALUE"""),"
Pack size &amp; Item")</f>
        <v>
Pack size &amp; Item</v>
      </c>
      <c r="B38" s="7" t="str">
        <f>IFERROR(__xludf.DUMMYFUNCTION("""COMPUTED_VALUE"""),"Pack Weight")</f>
        <v>Pack Weight</v>
      </c>
      <c r="C38" s="7"/>
      <c r="D38" s="7"/>
      <c r="E38" s="7"/>
    </row>
    <row r="39">
      <c r="A39" s="6" t="str">
        <f>IFERROR(__xludf.DUMMYFUNCTION("""COMPUTED_VALUE"""),"4 x 5 kg Grease APLR")</f>
        <v>4 x 5 kg Grease APLR</v>
      </c>
      <c r="B39" s="7" t="str">
        <f>IFERROR(__xludf.DUMMYFUNCTION("""COMPUTED_VALUE"""),"20 Kg")</f>
        <v>20 Kg</v>
      </c>
      <c r="C39" s="7" t="str">
        <f>IFERROR(__xludf.DUMMYFUNCTION("""COMPUTED_VALUE"""),"Gross wt.")</f>
        <v>Gross wt.</v>
      </c>
      <c r="D39" s="7">
        <f>IFERROR(__xludf.DUMMYFUNCTION("""COMPUTED_VALUE"""),3311.0)</f>
        <v>3311</v>
      </c>
      <c r="E39" s="7" t="str">
        <f>IFERROR(__xludf.DUMMYFUNCTION("""COMPUTED_VALUE"""),"Per Case")</f>
        <v>Per Case</v>
      </c>
    </row>
    <row r="40">
      <c r="A40" s="6" t="str">
        <f>IFERROR(__xludf.DUMMYFUNCTION("""COMPUTED_VALUE"""),"4x5 kg Grease EP-2")</f>
        <v>4x5 kg Grease EP-2</v>
      </c>
      <c r="B40" s="7" t="str">
        <f>IFERROR(__xludf.DUMMYFUNCTION("""COMPUTED_VALUE"""),"20 Kg")</f>
        <v>20 Kg</v>
      </c>
      <c r="C40" s="7" t="str">
        <f>IFERROR(__xludf.DUMMYFUNCTION("""COMPUTED_VALUE"""),"Gross wt.")</f>
        <v>Gross wt.</v>
      </c>
      <c r="D40" s="7">
        <f>IFERROR(__xludf.DUMMYFUNCTION("""COMPUTED_VALUE"""),3661.0)</f>
        <v>3661</v>
      </c>
      <c r="E40" s="7" t="str">
        <f>IFERROR(__xludf.DUMMYFUNCTION("""COMPUTED_VALUE"""),"Per Case")</f>
        <v>Per Case</v>
      </c>
    </row>
    <row r="41">
      <c r="A41" s="6" t="str">
        <f>IFERROR(__xludf.DUMMYFUNCTION("""COMPUTED_VALUE"""),"4 x 5 kg Grease AP3")</f>
        <v>4 x 5 kg Grease AP3</v>
      </c>
      <c r="B41" s="7" t="str">
        <f>IFERROR(__xludf.DUMMYFUNCTION("""COMPUTED_VALUE"""),"20 Kg")</f>
        <v>20 Kg</v>
      </c>
      <c r="C41" s="7" t="str">
        <f>IFERROR(__xludf.DUMMYFUNCTION("""COMPUTED_VALUE"""),"Gross wt.")</f>
        <v>Gross wt.</v>
      </c>
      <c r="D41" s="7">
        <f>IFERROR(__xludf.DUMMYFUNCTION("""COMPUTED_VALUE"""),3621.0)</f>
        <v>3621</v>
      </c>
      <c r="E41" s="7" t="str">
        <f>IFERROR(__xludf.DUMMYFUNCTION("""COMPUTED_VALUE"""),"Per Case")</f>
        <v>Per Case</v>
      </c>
    </row>
    <row r="42">
      <c r="A42" s="6" t="str">
        <f>IFERROR(__xludf.DUMMYFUNCTION("""COMPUTED_VALUE"""),"4 x 5 Kg Grease GEL (lithium complex)")</f>
        <v>4 x 5 Kg Grease GEL (lithium complex)</v>
      </c>
      <c r="B42" s="7" t="str">
        <f>IFERROR(__xludf.DUMMYFUNCTION("""COMPUTED_VALUE"""),"20 Kg")</f>
        <v>20 Kg</v>
      </c>
      <c r="C42" s="7" t="str">
        <f>IFERROR(__xludf.DUMMYFUNCTION("""COMPUTED_VALUE"""),"Gross wt.")</f>
        <v>Gross wt.</v>
      </c>
      <c r="D42" s="7">
        <f>IFERROR(__xludf.DUMMYFUNCTION("""COMPUTED_VALUE"""),3771.0)</f>
        <v>3771</v>
      </c>
      <c r="E42" s="7" t="str">
        <f>IFERROR(__xludf.DUMMYFUNCTION("""COMPUTED_VALUE"""),"Per Case")</f>
        <v>Per Case</v>
      </c>
    </row>
    <row r="43">
      <c r="A43" s="6" t="str">
        <f>IFERROR(__xludf.DUMMYFUNCTION("""COMPUTED_VALUE"""),"4 x 5 Kg Grease Blue Gel ( lthium comlex)")</f>
        <v>4 x 5 Kg Grease Blue Gel ( lthium comlex)</v>
      </c>
      <c r="B43" s="7" t="str">
        <f>IFERROR(__xludf.DUMMYFUNCTION("""COMPUTED_VALUE"""),"20 Kg")</f>
        <v>20 Kg</v>
      </c>
      <c r="C43" s="7" t="str">
        <f>IFERROR(__xludf.DUMMYFUNCTION("""COMPUTED_VALUE"""),"Gross wt.")</f>
        <v>Gross wt.</v>
      </c>
      <c r="D43" s="7">
        <f>IFERROR(__xludf.DUMMYFUNCTION("""COMPUTED_VALUE"""),3851.0)</f>
        <v>3851</v>
      </c>
      <c r="E43" s="7" t="str">
        <f>IFERROR(__xludf.DUMMYFUNCTION("""COMPUTED_VALUE"""),"Per Case")</f>
        <v>Per Case</v>
      </c>
    </row>
    <row r="44">
      <c r="A44" s="6" t="str">
        <f>IFERROR(__xludf.DUMMYFUNCTION("""COMPUTED_VALUE"""),"10 kg Bucket Grease MP3 ( Calcium)")</f>
        <v>10 kg Bucket Grease MP3 ( Calcium)</v>
      </c>
      <c r="B44" s="7" t="str">
        <f>IFERROR(__xludf.DUMMYFUNCTION("""COMPUTED_VALUE"""),"10 kg")</f>
        <v>10 kg</v>
      </c>
      <c r="C44" s="7" t="str">
        <f>IFERROR(__xludf.DUMMYFUNCTION("""COMPUTED_VALUE"""),"Gross wt.")</f>
        <v>Gross wt.</v>
      </c>
      <c r="D44" s="7">
        <f>IFERROR(__xludf.DUMMYFUNCTION("""COMPUTED_VALUE"""),1121.0)</f>
        <v>1121</v>
      </c>
      <c r="E44" s="7" t="str">
        <f>IFERROR(__xludf.DUMMYFUNCTION("""COMPUTED_VALUE"""),"Per Bkt")</f>
        <v>Per Bkt</v>
      </c>
    </row>
    <row r="45">
      <c r="A45" s="6" t="str">
        <f>IFERROR(__xludf.DUMMYFUNCTION("""COMPUTED_VALUE"""),"10 kg Bucket Grease C Red Gel ( Calcium)")</f>
        <v>10 kg Bucket Grease C Red Gel ( Calcium)</v>
      </c>
      <c r="B45" s="7" t="str">
        <f>IFERROR(__xludf.DUMMYFUNCTION("""COMPUTED_VALUE"""),"10 kg")</f>
        <v>10 kg</v>
      </c>
      <c r="C45" s="7" t="str">
        <f>IFERROR(__xludf.DUMMYFUNCTION("""COMPUTED_VALUE"""),"Gross wt.")</f>
        <v>Gross wt.</v>
      </c>
      <c r="D45" s="7">
        <f>IFERROR(__xludf.DUMMYFUNCTION("""COMPUTED_VALUE"""),1121.0)</f>
        <v>1121</v>
      </c>
      <c r="E45" s="7" t="str">
        <f>IFERROR(__xludf.DUMMYFUNCTION("""COMPUTED_VALUE"""),"Per Bkt")</f>
        <v>Per Bkt</v>
      </c>
    </row>
    <row r="46">
      <c r="A46" s="6" t="str">
        <f>IFERROR(__xludf.DUMMYFUNCTION("""COMPUTED_VALUE"""),"10 Kg Bucket Grease G Red Gel (Dark red Calcium)")</f>
        <v>10 Kg Bucket Grease G Red Gel (Dark red Calcium)</v>
      </c>
      <c r="B46" s="7" t="str">
        <f>IFERROR(__xludf.DUMMYFUNCTION("""COMPUTED_VALUE"""),"10 kg")</f>
        <v>10 kg</v>
      </c>
      <c r="C46" s="7" t="str">
        <f>IFERROR(__xludf.DUMMYFUNCTION("""COMPUTED_VALUE"""),"Gross wt.")</f>
        <v>Gross wt.</v>
      </c>
      <c r="D46" s="7">
        <f>IFERROR(__xludf.DUMMYFUNCTION("""COMPUTED_VALUE"""),1007.0)</f>
        <v>1007</v>
      </c>
      <c r="E46" s="7" t="str">
        <f>IFERROR(__xludf.DUMMYFUNCTION("""COMPUTED_VALUE"""),"Per Bkt")</f>
        <v>Per Bkt</v>
      </c>
    </row>
    <row r="47">
      <c r="A47" s="6" t="str">
        <f>IFERROR(__xludf.DUMMYFUNCTION("""COMPUTED_VALUE"""),"10 Kg Bucket Grease SLR ( Dark Green Calcium)")</f>
        <v>10 Kg Bucket Grease SLR ( Dark Green Calcium)</v>
      </c>
      <c r="B47" s="7" t="str">
        <f>IFERROR(__xludf.DUMMYFUNCTION("""COMPUTED_VALUE"""),"10 kg")</f>
        <v>10 kg</v>
      </c>
      <c r="C47" s="7" t="str">
        <f>IFERROR(__xludf.DUMMYFUNCTION("""COMPUTED_VALUE"""),"Gross wt.")</f>
        <v>Gross wt.</v>
      </c>
      <c r="D47" s="7">
        <f>IFERROR(__xludf.DUMMYFUNCTION("""COMPUTED_VALUE"""),980.0)</f>
        <v>980</v>
      </c>
      <c r="E47" s="7" t="str">
        <f>IFERROR(__xludf.DUMMYFUNCTION("""COMPUTED_VALUE"""),"Per Bkt")</f>
        <v>Per Bkt</v>
      </c>
    </row>
    <row r="48">
      <c r="A48" s="6" t="str">
        <f>IFERROR(__xludf.DUMMYFUNCTION("""COMPUTED_VALUE"""),"10 kg Bucket Grease APLR")</f>
        <v>10 kg Bucket Grease APLR</v>
      </c>
      <c r="B48" s="7" t="str">
        <f>IFERROR(__xludf.DUMMYFUNCTION("""COMPUTED_VALUE"""),"10 kg")</f>
        <v>10 kg</v>
      </c>
      <c r="C48" s="7" t="str">
        <f>IFERROR(__xludf.DUMMYFUNCTION("""COMPUTED_VALUE"""),"Gross wt.")</f>
        <v>Gross wt.</v>
      </c>
      <c r="D48" s="7">
        <f>IFERROR(__xludf.DUMMYFUNCTION("""COMPUTED_VALUE"""),1586.0)</f>
        <v>1586</v>
      </c>
      <c r="E48" s="7" t="str">
        <f>IFERROR(__xludf.DUMMYFUNCTION("""COMPUTED_VALUE"""),"Per Bkt")</f>
        <v>Per Bkt</v>
      </c>
    </row>
    <row r="49">
      <c r="A49" s="6" t="str">
        <f>IFERROR(__xludf.DUMMYFUNCTION("""COMPUTED_VALUE"""),"10 kg Bucket Grease EP-2")</f>
        <v>10 kg Bucket Grease EP-2</v>
      </c>
      <c r="B49" s="7" t="str">
        <f>IFERROR(__xludf.DUMMYFUNCTION("""COMPUTED_VALUE"""),"10 kg")</f>
        <v>10 kg</v>
      </c>
      <c r="C49" s="7" t="str">
        <f>IFERROR(__xludf.DUMMYFUNCTION("""COMPUTED_VALUE"""),"Gross wt.")</f>
        <v>Gross wt.</v>
      </c>
      <c r="D49" s="7">
        <f>IFERROR(__xludf.DUMMYFUNCTION("""COMPUTED_VALUE"""),1761.0)</f>
        <v>1761</v>
      </c>
      <c r="E49" s="7" t="str">
        <f>IFERROR(__xludf.DUMMYFUNCTION("""COMPUTED_VALUE"""),"Per Bkt")</f>
        <v>Per Bkt</v>
      </c>
    </row>
    <row r="50">
      <c r="A50" s="6" t="str">
        <f>IFERROR(__xludf.DUMMYFUNCTION("""COMPUTED_VALUE"""),"10 kg Bucket Grease AP3")</f>
        <v>10 kg Bucket Grease AP3</v>
      </c>
      <c r="B50" s="7" t="str">
        <f>IFERROR(__xludf.DUMMYFUNCTION("""COMPUTED_VALUE"""),"10 kg")</f>
        <v>10 kg</v>
      </c>
      <c r="C50" s="7" t="str">
        <f>IFERROR(__xludf.DUMMYFUNCTION("""COMPUTED_VALUE"""),"Gross wt.")</f>
        <v>Gross wt.</v>
      </c>
      <c r="D50" s="7">
        <f>IFERROR(__xludf.DUMMYFUNCTION("""COMPUTED_VALUE"""),1741.0)</f>
        <v>1741</v>
      </c>
      <c r="E50" s="7" t="str">
        <f>IFERROR(__xludf.DUMMYFUNCTION("""COMPUTED_VALUE"""),"Per Bkt")</f>
        <v>Per Bkt</v>
      </c>
    </row>
    <row r="51">
      <c r="A51" s="6" t="str">
        <f>IFERROR(__xludf.DUMMYFUNCTION("""COMPUTED_VALUE"""),"10 kg Bucket Grease Red GEL ( lithium comlex)")</f>
        <v>10 kg Bucket Grease Red GEL ( lithium comlex)</v>
      </c>
      <c r="B51" s="7" t="str">
        <f>IFERROR(__xludf.DUMMYFUNCTION("""COMPUTED_VALUE"""),"10 kg")</f>
        <v>10 kg</v>
      </c>
      <c r="C51" s="7" t="str">
        <f>IFERROR(__xludf.DUMMYFUNCTION("""COMPUTED_VALUE"""),"Gross wt.")</f>
        <v>Gross wt.</v>
      </c>
      <c r="D51" s="7">
        <f>IFERROR(__xludf.DUMMYFUNCTION("""COMPUTED_VALUE"""),1816.0)</f>
        <v>1816</v>
      </c>
      <c r="E51" s="7" t="str">
        <f>IFERROR(__xludf.DUMMYFUNCTION("""COMPUTED_VALUE"""),"Per Bkt")</f>
        <v>Per Bkt</v>
      </c>
    </row>
    <row r="52">
      <c r="A52" s="6" t="str">
        <f>IFERROR(__xludf.DUMMYFUNCTION("""COMPUTED_VALUE"""),"10 kg Bucket Grease Blue Gel ( lthium comlex)")</f>
        <v>10 kg Bucket Grease Blue Gel ( lthium comlex)</v>
      </c>
      <c r="B52" s="7" t="str">
        <f>IFERROR(__xludf.DUMMYFUNCTION("""COMPUTED_VALUE"""),"10 Kg")</f>
        <v>10 Kg</v>
      </c>
      <c r="C52" s="7" t="str">
        <f>IFERROR(__xludf.DUMMYFUNCTION("""COMPUTED_VALUE"""),"Gross wt.")</f>
        <v>Gross wt.</v>
      </c>
      <c r="D52" s="7">
        <f>IFERROR(__xludf.DUMMYFUNCTION("""COMPUTED_VALUE"""),1856.0)</f>
        <v>1856</v>
      </c>
      <c r="E52" s="7" t="str">
        <f>IFERROR(__xludf.DUMMYFUNCTION("""COMPUTED_VALUE"""),"Per Bkt")</f>
        <v>Per Bkt</v>
      </c>
    </row>
    <row r="53">
      <c r="A53" s="6" t="str">
        <f>IFERROR(__xludf.DUMMYFUNCTION("""COMPUTED_VALUE"""),"18 kg Bucket Grease AP3  ( lithium)")</f>
        <v>18 kg Bucket Grease AP3  ( lithium)</v>
      </c>
      <c r="B53" s="7" t="str">
        <f>IFERROR(__xludf.DUMMYFUNCTION("""COMPUTED_VALUE"""),"18 kg")</f>
        <v>18 kg</v>
      </c>
      <c r="C53" s="7" t="str">
        <f>IFERROR(__xludf.DUMMYFUNCTION("""COMPUTED_VALUE"""),"Gross wt.")</f>
        <v>Gross wt.</v>
      </c>
      <c r="D53" s="7">
        <f>IFERROR(__xludf.DUMMYFUNCTION("""COMPUTED_VALUE"""),2980.0)</f>
        <v>2980</v>
      </c>
      <c r="E53" s="7" t="str">
        <f>IFERROR(__xludf.DUMMYFUNCTION("""COMPUTED_VALUE"""),"Per Bkt")</f>
        <v>Per Bkt</v>
      </c>
    </row>
    <row r="54">
      <c r="A54" s="6" t="str">
        <f>IFERROR(__xludf.DUMMYFUNCTION("""COMPUTED_VALUE"""),"18 kg Bucket Grease Red Gel  ( lithium complex)")</f>
        <v>18 kg Bucket Grease Red Gel  ( lithium complex)</v>
      </c>
      <c r="B54" s="7" t="str">
        <f>IFERROR(__xludf.DUMMYFUNCTION("""COMPUTED_VALUE"""),"18 kg")</f>
        <v>18 kg</v>
      </c>
      <c r="C54" s="7" t="str">
        <f>IFERROR(__xludf.DUMMYFUNCTION("""COMPUTED_VALUE"""),"Gross wt.")</f>
        <v>Gross wt.</v>
      </c>
      <c r="D54" s="7">
        <f>IFERROR(__xludf.DUMMYFUNCTION("""COMPUTED_VALUE"""),3115.0)</f>
        <v>3115</v>
      </c>
      <c r="E54" s="7" t="str">
        <f>IFERROR(__xludf.DUMMYFUNCTION("""COMPUTED_VALUE"""),"Per Bkt")</f>
        <v>Per Bkt</v>
      </c>
    </row>
    <row r="55">
      <c r="A55" s="6" t="str">
        <f>IFERROR(__xludf.DUMMYFUNCTION("""COMPUTED_VALUE"""),"18 Kg Bucket Grease Blue Gel ( lithium complex)")</f>
        <v>18 Kg Bucket Grease Blue Gel ( lithium complex)</v>
      </c>
      <c r="B55" s="7" t="str">
        <f>IFERROR(__xludf.DUMMYFUNCTION("""COMPUTED_VALUE"""),"18 Kg")</f>
        <v>18 Kg</v>
      </c>
      <c r="C55" s="7" t="str">
        <f>IFERROR(__xludf.DUMMYFUNCTION("""COMPUTED_VALUE"""),"Gross wt.")</f>
        <v>Gross wt.</v>
      </c>
      <c r="D55" s="7">
        <f>IFERROR(__xludf.DUMMYFUNCTION("""COMPUTED_VALUE"""),3187.0)</f>
        <v>3187</v>
      </c>
      <c r="E55" s="7" t="str">
        <f>IFERROR(__xludf.DUMMYFUNCTION("""COMPUTED_VALUE"""),"Per Bkt")</f>
        <v>Per Bkt</v>
      </c>
    </row>
    <row r="56">
      <c r="A56" s="6" t="str">
        <f>IFERROR(__xludf.DUMMYFUNCTION("""COMPUTED_VALUE"""),"18 kg Bucket Grease EP-1")</f>
        <v>18 kg Bucket Grease EP-1</v>
      </c>
      <c r="B56" s="7" t="str">
        <f>IFERROR(__xludf.DUMMYFUNCTION("""COMPUTED_VALUE"""),"18 kg")</f>
        <v>18 kg</v>
      </c>
      <c r="C56" s="7" t="str">
        <f>IFERROR(__xludf.DUMMYFUNCTION("""COMPUTED_VALUE"""),"Gross wt.")</f>
        <v>Gross wt.</v>
      </c>
      <c r="D56" s="7">
        <f>IFERROR(__xludf.DUMMYFUNCTION("""COMPUTED_VALUE"""),3052.0)</f>
        <v>3052</v>
      </c>
      <c r="E56" s="7" t="str">
        <f>IFERROR(__xludf.DUMMYFUNCTION("""COMPUTED_VALUE"""),"Per Bkt")</f>
        <v>Per Bkt</v>
      </c>
    </row>
    <row r="57">
      <c r="A57" s="6" t="str">
        <f>IFERROR(__xludf.DUMMYFUNCTION("""COMPUTED_VALUE"""),"18 kg Bucket Grease EP-2  ( lithium)")</f>
        <v>18 kg Bucket Grease EP-2  ( lithium)</v>
      </c>
      <c r="B57" s="7" t="str">
        <f>IFERROR(__xludf.DUMMYFUNCTION("""COMPUTED_VALUE"""),"18 kg")</f>
        <v>18 kg</v>
      </c>
      <c r="C57" s="7" t="str">
        <f>IFERROR(__xludf.DUMMYFUNCTION("""COMPUTED_VALUE"""),"Gross wt.")</f>
        <v>Gross wt.</v>
      </c>
      <c r="D57" s="7">
        <f>IFERROR(__xludf.DUMMYFUNCTION("""COMPUTED_VALUE"""),3016.0)</f>
        <v>3016</v>
      </c>
      <c r="E57" s="7" t="str">
        <f>IFERROR(__xludf.DUMMYFUNCTION("""COMPUTED_VALUE"""),"Per Bkt")</f>
        <v>Per Bkt</v>
      </c>
    </row>
    <row r="58">
      <c r="A58" s="6" t="str">
        <f>IFERROR(__xludf.DUMMYFUNCTION("""COMPUTED_VALUE"""),"18 kg Bucket Grease EP-3 ( lithium)")</f>
        <v>18 kg Bucket Grease EP-3 ( lithium)</v>
      </c>
      <c r="B58" s="7" t="str">
        <f>IFERROR(__xludf.DUMMYFUNCTION("""COMPUTED_VALUE"""),"18 kg")</f>
        <v>18 kg</v>
      </c>
      <c r="C58" s="7" t="str">
        <f>IFERROR(__xludf.DUMMYFUNCTION("""COMPUTED_VALUE"""),"Gross wt.")</f>
        <v>Gross wt.</v>
      </c>
      <c r="D58" s="7">
        <f>IFERROR(__xludf.DUMMYFUNCTION("""COMPUTED_VALUE"""),3016.0)</f>
        <v>3016</v>
      </c>
      <c r="E58" s="7" t="str">
        <f>IFERROR(__xludf.DUMMYFUNCTION("""COMPUTED_VALUE"""),"Per Bkt")</f>
        <v>Per Bkt</v>
      </c>
    </row>
    <row r="59">
      <c r="A59" s="6" t="str">
        <f>IFERROR(__xludf.DUMMYFUNCTION("""COMPUTED_VALUE"""),"18 kg Bucket Grease EP-00 ( lithium)")</f>
        <v>18 kg Bucket Grease EP-00 ( lithium)</v>
      </c>
      <c r="B59" s="7" t="str">
        <f>IFERROR(__xludf.DUMMYFUNCTION("""COMPUTED_VALUE"""),"18 kg")</f>
        <v>18 kg</v>
      </c>
      <c r="C59" s="7" t="str">
        <f>IFERROR(__xludf.DUMMYFUNCTION("""COMPUTED_VALUE"""),"Gross wt.")</f>
        <v>Gross wt.</v>
      </c>
      <c r="D59" s="7">
        <f>IFERROR(__xludf.DUMMYFUNCTION("""COMPUTED_VALUE"""),3070.0)</f>
        <v>3070</v>
      </c>
      <c r="E59" s="7" t="str">
        <f>IFERROR(__xludf.DUMMYFUNCTION("""COMPUTED_VALUE"""),"Per Bkt")</f>
        <v>Per Bkt</v>
      </c>
    </row>
    <row r="60">
      <c r="A60" s="6" t="str">
        <f>IFERROR(__xludf.DUMMYFUNCTION("""COMPUTED_VALUE"""),"18 kg Bucket Grease EP-000 ( lithium)")</f>
        <v>18 kg Bucket Grease EP-000 ( lithium)</v>
      </c>
      <c r="B60" s="7" t="str">
        <f>IFERROR(__xludf.DUMMYFUNCTION("""COMPUTED_VALUE"""),"18 kg")</f>
        <v>18 kg</v>
      </c>
      <c r="C60" s="7" t="str">
        <f>IFERROR(__xludf.DUMMYFUNCTION("""COMPUTED_VALUE"""),"Gross wt.")</f>
        <v>Gross wt.</v>
      </c>
      <c r="D60" s="7">
        <f>IFERROR(__xludf.DUMMYFUNCTION("""COMPUTED_VALUE"""),3088.0)</f>
        <v>3088</v>
      </c>
      <c r="E60" s="7" t="str">
        <f>IFERROR(__xludf.DUMMYFUNCTION("""COMPUTED_VALUE"""),"Per Bkt")</f>
        <v>Per Bkt</v>
      </c>
    </row>
    <row r="61">
      <c r="A61" s="6" t="str">
        <f>IFERROR(__xludf.DUMMYFUNCTION("""COMPUTED_VALUE"""),"18 kg Bucket Grease 222  ( lithium complex)")</f>
        <v>18 kg Bucket Grease 222  ( lithium complex)</v>
      </c>
      <c r="B61" s="7" t="str">
        <f>IFERROR(__xludf.DUMMYFUNCTION("""COMPUTED_VALUE"""),"18 kg")</f>
        <v>18 kg</v>
      </c>
      <c r="C61" s="7" t="str">
        <f>IFERROR(__xludf.DUMMYFUNCTION("""COMPUTED_VALUE"""),"Gross wt.")</f>
        <v>Gross wt.</v>
      </c>
      <c r="D61" s="7">
        <f>IFERROR(__xludf.DUMMYFUNCTION("""COMPUTED_VALUE"""),3223.0)</f>
        <v>3223</v>
      </c>
      <c r="E61" s="7" t="str">
        <f>IFERROR(__xludf.DUMMYFUNCTION("""COMPUTED_VALUE"""),"Per Bkt")</f>
        <v>Per Bkt</v>
      </c>
    </row>
    <row r="62">
      <c r="A62" s="6" t="str">
        <f>IFERROR(__xludf.DUMMYFUNCTION("""COMPUTED_VALUE"""),"18 kg Bucket Grease MP3 (Calcium)")</f>
        <v>18 kg Bucket Grease MP3 (Calcium)</v>
      </c>
      <c r="B62" s="7" t="str">
        <f>IFERROR(__xludf.DUMMYFUNCTION("""COMPUTED_VALUE"""),"18 kg")</f>
        <v>18 kg</v>
      </c>
      <c r="C62" s="7" t="str">
        <f>IFERROR(__xludf.DUMMYFUNCTION("""COMPUTED_VALUE"""),"Gross wt.")</f>
        <v>Gross wt.</v>
      </c>
      <c r="D62" s="7">
        <f>IFERROR(__xludf.DUMMYFUNCTION("""COMPUTED_VALUE"""),1852.0)</f>
        <v>1852</v>
      </c>
      <c r="E62" s="7" t="str">
        <f>IFERROR(__xludf.DUMMYFUNCTION("""COMPUTED_VALUE"""),"Per Bkt")</f>
        <v>Per Bkt</v>
      </c>
    </row>
    <row r="63">
      <c r="A63" s="6" t="str">
        <f>IFERROR(__xludf.DUMMYFUNCTION("""COMPUTED_VALUE"""),"18 kg  Bucket Grease C Red Gel ( Calcium)")</f>
        <v>18 kg  Bucket Grease C Red Gel ( Calcium)</v>
      </c>
      <c r="B63" s="7" t="str">
        <f>IFERROR(__xludf.DUMMYFUNCTION("""COMPUTED_VALUE"""),"18 kg")</f>
        <v>18 kg</v>
      </c>
      <c r="C63" s="7" t="str">
        <f>IFERROR(__xludf.DUMMYFUNCTION("""COMPUTED_VALUE"""),"Gross wt.")</f>
        <v>Gross wt.</v>
      </c>
      <c r="D63" s="7">
        <f>IFERROR(__xludf.DUMMYFUNCTION("""COMPUTED_VALUE"""),1852.0)</f>
        <v>1852</v>
      </c>
      <c r="E63" s="7" t="str">
        <f>IFERROR(__xludf.DUMMYFUNCTION("""COMPUTED_VALUE"""),"Per Bkt")</f>
        <v>Per Bkt</v>
      </c>
    </row>
    <row r="64">
      <c r="A64" s="6" t="str">
        <f>IFERROR(__xludf.DUMMYFUNCTION("""COMPUTED_VALUE"""),"18 Kg Bucket Grease G Red Gel (Dark red Calcium)")</f>
        <v>18 Kg Bucket Grease G Red Gel (Dark red Calcium)</v>
      </c>
      <c r="B64" s="7" t="str">
        <f>IFERROR(__xludf.DUMMYFUNCTION("""COMPUTED_VALUE"""),"18 kg")</f>
        <v>18 kg</v>
      </c>
      <c r="C64" s="7" t="str">
        <f>IFERROR(__xludf.DUMMYFUNCTION("""COMPUTED_VALUE"""),"Gross wt.")</f>
        <v>Gross wt.</v>
      </c>
      <c r="D64" s="7">
        <f>IFERROR(__xludf.DUMMYFUNCTION("""COMPUTED_VALUE"""),1664.0)</f>
        <v>1664</v>
      </c>
      <c r="E64" s="7" t="str">
        <f>IFERROR(__xludf.DUMMYFUNCTION("""COMPUTED_VALUE"""),"Per Bkt")</f>
        <v>Per Bkt</v>
      </c>
    </row>
    <row r="65">
      <c r="A65" s="6" t="str">
        <f>IFERROR(__xludf.DUMMYFUNCTION("""COMPUTED_VALUE"""),"18 Kg Bucket Grease SLR (lustrous green : calcium)")</f>
        <v>18 Kg Bucket Grease SLR (lustrous green : calcium)</v>
      </c>
      <c r="B65" s="7" t="str">
        <f>IFERROR(__xludf.DUMMYFUNCTION("""COMPUTED_VALUE"""),"18 Kg")</f>
        <v>18 Kg</v>
      </c>
      <c r="C65" s="7" t="str">
        <f>IFERROR(__xludf.DUMMYFUNCTION("""COMPUTED_VALUE"""),"Gross wt.")</f>
        <v>Gross wt.</v>
      </c>
      <c r="D65" s="7">
        <f>IFERROR(__xludf.DUMMYFUNCTION("""COMPUTED_VALUE"""),1680.0)</f>
        <v>1680</v>
      </c>
      <c r="E65" s="7" t="str">
        <f>IFERROR(__xludf.DUMMYFUNCTION("""COMPUTED_VALUE"""),"Per Bkt")</f>
        <v>Per Bkt</v>
      </c>
    </row>
    <row r="66">
      <c r="A66" s="6" t="str">
        <f>IFERROR(__xludf.DUMMYFUNCTION("""COMPUTED_VALUE"""),"
Pack size &amp; Item")</f>
        <v>
Pack size &amp; Item</v>
      </c>
      <c r="B66" s="7" t="str">
        <f>IFERROR(__xludf.DUMMYFUNCTION("""COMPUTED_VALUE"""),"Pack Weight")</f>
        <v>Pack Weight</v>
      </c>
      <c r="C66" s="7"/>
      <c r="D66" s="7"/>
      <c r="E66" s="7"/>
    </row>
    <row r="67">
      <c r="A67" s="6" t="str">
        <f>IFERROR(__xludf.DUMMYFUNCTION("""COMPUTED_VALUE"""),"Grease High Temp. APLR (Drop pt. 190 deg C)
(lithium base green color grease)")</f>
        <v>Grease High Temp. APLR (Drop pt. 190 deg C)
(lithium base green color grease)</v>
      </c>
      <c r="B67" s="7" t="str">
        <f>IFERROR(__xludf.DUMMYFUNCTION("""COMPUTED_VALUE"""),"180 Kg")</f>
        <v>180 Kg</v>
      </c>
      <c r="C67" s="7" t="str">
        <f>IFERROR(__xludf.DUMMYFUNCTION("""COMPUTED_VALUE"""),"Nett wt.")</f>
        <v>Nett wt.</v>
      </c>
      <c r="D67" s="7">
        <f>IFERROR(__xludf.DUMMYFUNCTION("""COMPUTED_VALUE"""),151.0)</f>
        <v>151</v>
      </c>
      <c r="E67" s="7" t="str">
        <f>IFERROR(__xludf.DUMMYFUNCTION("""COMPUTED_VALUE"""),"Per Kg")</f>
        <v>Per Kg</v>
      </c>
    </row>
    <row r="68">
      <c r="A68" s="6" t="str">
        <f>IFERROR(__xludf.DUMMYFUNCTION("""COMPUTED_VALUE"""),"Grease High Temp. EP-1(Drop pt. 190 deg C)")</f>
        <v>Grease High Temp. EP-1(Drop pt. 190 deg C)</v>
      </c>
      <c r="B68" s="7" t="str">
        <f>IFERROR(__xludf.DUMMYFUNCTION("""COMPUTED_VALUE"""),"180 Kg")</f>
        <v>180 Kg</v>
      </c>
      <c r="C68" s="7" t="str">
        <f>IFERROR(__xludf.DUMMYFUNCTION("""COMPUTED_VALUE"""),"Nett wt.")</f>
        <v>Nett wt.</v>
      </c>
      <c r="D68" s="7">
        <f>IFERROR(__xludf.DUMMYFUNCTION("""COMPUTED_VALUE"""),171.0)</f>
        <v>171</v>
      </c>
      <c r="E68" s="7" t="str">
        <f>IFERROR(__xludf.DUMMYFUNCTION("""COMPUTED_VALUE"""),"Per Kg")</f>
        <v>Per Kg</v>
      </c>
    </row>
    <row r="69">
      <c r="A69" s="6" t="str">
        <f>IFERROR(__xludf.DUMMYFUNCTION("""COMPUTED_VALUE"""),"Grease High Temp. EP-2(Drop pt. 190 deg C)")</f>
        <v>Grease High Temp. EP-2(Drop pt. 190 deg C)</v>
      </c>
      <c r="B69" s="7" t="str">
        <f>IFERROR(__xludf.DUMMYFUNCTION("""COMPUTED_VALUE"""),"180 Kg")</f>
        <v>180 Kg</v>
      </c>
      <c r="C69" s="7" t="str">
        <f>IFERROR(__xludf.DUMMYFUNCTION("""COMPUTED_VALUE"""),"Nett wt.")</f>
        <v>Nett wt.</v>
      </c>
      <c r="D69" s="7">
        <f>IFERROR(__xludf.DUMMYFUNCTION("""COMPUTED_VALUE"""),169.0)</f>
        <v>169</v>
      </c>
      <c r="E69" s="7" t="str">
        <f>IFERROR(__xludf.DUMMYFUNCTION("""COMPUTED_VALUE"""),"Per Kg")</f>
        <v>Per Kg</v>
      </c>
    </row>
    <row r="70">
      <c r="A70" s="6" t="str">
        <f>IFERROR(__xludf.DUMMYFUNCTION("""COMPUTED_VALUE"""),"Grease High Temp. EP-3(Drop pt. 190 deg C)")</f>
        <v>Grease High Temp. EP-3(Drop pt. 190 deg C)</v>
      </c>
      <c r="B70" s="7" t="str">
        <f>IFERROR(__xludf.DUMMYFUNCTION("""COMPUTED_VALUE"""),"180 Kg")</f>
        <v>180 Kg</v>
      </c>
      <c r="C70" s="7" t="str">
        <f>IFERROR(__xludf.DUMMYFUNCTION("""COMPUTED_VALUE"""),"Nett wt.")</f>
        <v>Nett wt.</v>
      </c>
      <c r="D70" s="7">
        <f>IFERROR(__xludf.DUMMYFUNCTION("""COMPUTED_VALUE"""),169.0)</f>
        <v>169</v>
      </c>
      <c r="E70" s="7" t="str">
        <f>IFERROR(__xludf.DUMMYFUNCTION("""COMPUTED_VALUE"""),"Per Kg")</f>
        <v>Per Kg</v>
      </c>
    </row>
    <row r="71">
      <c r="A71" s="6" t="str">
        <f>IFERROR(__xludf.DUMMYFUNCTION("""COMPUTED_VALUE"""),"Grease High Temp. EP-00(Drop pt. 190 deg C)")</f>
        <v>Grease High Temp. EP-00(Drop pt. 190 deg C)</v>
      </c>
      <c r="B71" s="7" t="str">
        <f>IFERROR(__xludf.DUMMYFUNCTION("""COMPUTED_VALUE"""),"180 Kg")</f>
        <v>180 Kg</v>
      </c>
      <c r="C71" s="7" t="str">
        <f>IFERROR(__xludf.DUMMYFUNCTION("""COMPUTED_VALUE"""),"Nett wt.")</f>
        <v>Nett wt.</v>
      </c>
      <c r="D71" s="7">
        <f>IFERROR(__xludf.DUMMYFUNCTION("""COMPUTED_VALUE"""),172.0)</f>
        <v>172</v>
      </c>
      <c r="E71" s="7" t="str">
        <f>IFERROR(__xludf.DUMMYFUNCTION("""COMPUTED_VALUE"""),"Per Kg")</f>
        <v>Per Kg</v>
      </c>
    </row>
    <row r="72">
      <c r="A72" s="6" t="str">
        <f>IFERROR(__xludf.DUMMYFUNCTION("""COMPUTED_VALUE"""),"Grease High Temp. EP-000(Drop pt. 190 deg C)")</f>
        <v>Grease High Temp. EP-000(Drop pt. 190 deg C)</v>
      </c>
      <c r="B72" s="7" t="str">
        <f>IFERROR(__xludf.DUMMYFUNCTION("""COMPUTED_VALUE"""),"180 Kg")</f>
        <v>180 Kg</v>
      </c>
      <c r="C72" s="7" t="str">
        <f>IFERROR(__xludf.DUMMYFUNCTION("""COMPUTED_VALUE"""),"Nett wt.")</f>
        <v>Nett wt.</v>
      </c>
      <c r="D72" s="7">
        <f>IFERROR(__xludf.DUMMYFUNCTION("""COMPUTED_VALUE"""),173.0)</f>
        <v>173</v>
      </c>
      <c r="E72" s="7" t="str">
        <f>IFERROR(__xludf.DUMMYFUNCTION("""COMPUTED_VALUE"""),"Per Kg")</f>
        <v>Per Kg</v>
      </c>
    </row>
    <row r="73">
      <c r="A73" s="6" t="str">
        <f>IFERROR(__xludf.DUMMYFUNCTION("""COMPUTED_VALUE"""),"Grease High Temp. AP3(Drop pt. 190 deg C)
(lithium base whitish color grease)")</f>
        <v>Grease High Temp. AP3(Drop pt. 190 deg C)
(lithium base whitish color grease)</v>
      </c>
      <c r="B73" s="7" t="str">
        <f>IFERROR(__xludf.DUMMYFUNCTION("""COMPUTED_VALUE"""),"180 Kg")</f>
        <v>180 Kg</v>
      </c>
      <c r="C73" s="7" t="str">
        <f>IFERROR(__xludf.DUMMYFUNCTION("""COMPUTED_VALUE"""),"Nett wt.")</f>
        <v>Nett wt.</v>
      </c>
      <c r="D73" s="7">
        <f>IFERROR(__xludf.DUMMYFUNCTION("""COMPUTED_VALUE"""),167.0)</f>
        <v>167</v>
      </c>
      <c r="E73" s="7" t="str">
        <f>IFERROR(__xludf.DUMMYFUNCTION("""COMPUTED_VALUE"""),"Per Kg")</f>
        <v>Per Kg</v>
      </c>
    </row>
    <row r="74">
      <c r="A74" s="6" t="str">
        <f>IFERROR(__xludf.DUMMYFUNCTION("""COMPUTED_VALUE"""),"Red Gel Grease High Temp. (Drop pt. 230 deg C)
(lithium complex red grease)")</f>
        <v>Red Gel Grease High Temp. (Drop pt. 230 deg C)
(lithium complex red grease)</v>
      </c>
      <c r="B74" s="7" t="str">
        <f>IFERROR(__xludf.DUMMYFUNCTION("""COMPUTED_VALUE"""),"180 Kg")</f>
        <v>180 Kg</v>
      </c>
      <c r="C74" s="7" t="str">
        <f>IFERROR(__xludf.DUMMYFUNCTION("""COMPUTED_VALUE"""),"Nett wt.")</f>
        <v>Nett wt.</v>
      </c>
      <c r="D74" s="7">
        <f>IFERROR(__xludf.DUMMYFUNCTION("""COMPUTED_VALUE"""),175.0)</f>
        <v>175</v>
      </c>
      <c r="E74" s="7" t="str">
        <f>IFERROR(__xludf.DUMMYFUNCTION("""COMPUTED_VALUE"""),"Per Kg")</f>
        <v>Per Kg</v>
      </c>
    </row>
    <row r="75">
      <c r="A75" s="6" t="str">
        <f>IFERROR(__xludf.DUMMYFUNCTION("""COMPUTED_VALUE"""),"Blue Gel Grease High Temp. (Drop pt. 240 deg C)
(lithium complex red grease)")</f>
        <v>Blue Gel Grease High Temp. (Drop pt. 240 deg C)
(lithium complex red grease)</v>
      </c>
      <c r="B75" s="7" t="str">
        <f>IFERROR(__xludf.DUMMYFUNCTION("""COMPUTED_VALUE"""),"180 Kg")</f>
        <v>180 Kg</v>
      </c>
      <c r="C75" s="7" t="str">
        <f>IFERROR(__xludf.DUMMYFUNCTION("""COMPUTED_VALUE"""),"Nett wt.")</f>
        <v>Nett wt.</v>
      </c>
      <c r="D75" s="7">
        <f>IFERROR(__xludf.DUMMYFUNCTION("""COMPUTED_VALUE"""),179.0)</f>
        <v>179</v>
      </c>
      <c r="E75" s="7" t="str">
        <f>IFERROR(__xludf.DUMMYFUNCTION("""COMPUTED_VALUE"""),"Per Kg")</f>
        <v>Per Kg</v>
      </c>
    </row>
    <row r="76">
      <c r="A76" s="6" t="str">
        <f>IFERROR(__xludf.DUMMYFUNCTION("""COMPUTED_VALUE"""),"Gel Grease 222(Drop pt. 245 deg C)
(lithium complex blue color grease)")</f>
        <v>Gel Grease 222(Drop pt. 245 deg C)
(lithium complex blue color grease)</v>
      </c>
      <c r="B76" s="7" t="str">
        <f>IFERROR(__xludf.DUMMYFUNCTION("""COMPUTED_VALUE"""),"180 Kg")</f>
        <v>180 Kg</v>
      </c>
      <c r="C76" s="7" t="str">
        <f>IFERROR(__xludf.DUMMYFUNCTION("""COMPUTED_VALUE"""),"Nett wt.")</f>
        <v>Nett wt.</v>
      </c>
      <c r="D76" s="7">
        <f>IFERROR(__xludf.DUMMYFUNCTION("""COMPUTED_VALUE"""),181.0)</f>
        <v>181</v>
      </c>
      <c r="E76" s="7" t="str">
        <f>IFERROR(__xludf.DUMMYFUNCTION("""COMPUTED_VALUE"""),"Per Kg")</f>
        <v>Per Kg</v>
      </c>
    </row>
    <row r="77">
      <c r="A77" s="6" t="str">
        <f>IFERROR(__xludf.DUMMYFUNCTION("""COMPUTED_VALUE"""),"Grease MP3 (Yellowish calcium base 90 deg drop pt.)")</f>
        <v>Grease MP3 (Yellowish calcium base 90 deg drop pt.)</v>
      </c>
      <c r="B77" s="7" t="str">
        <f>IFERROR(__xludf.DUMMYFUNCTION("""COMPUTED_VALUE"""),"170 Kg")</f>
        <v>170 Kg</v>
      </c>
      <c r="C77" s="7" t="str">
        <f>IFERROR(__xludf.DUMMYFUNCTION("""COMPUTED_VALUE"""),"Nett wt.")</f>
        <v>Nett wt.</v>
      </c>
      <c r="D77" s="7">
        <f>IFERROR(__xludf.DUMMYFUNCTION("""COMPUTED_VALUE"""),101.0)</f>
        <v>101</v>
      </c>
      <c r="E77" s="7" t="str">
        <f>IFERROR(__xludf.DUMMYFUNCTION("""COMPUTED_VALUE"""),"Per Kg")</f>
        <v>Per Kg</v>
      </c>
    </row>
    <row r="78">
      <c r="A78" s="6" t="str">
        <f>IFERROR(__xludf.DUMMYFUNCTION("""COMPUTED_VALUE"""),"Grease C Red Gel (Red calcium base 90 deg drop pt.)")</f>
        <v>Grease C Red Gel (Red calcium base 90 deg drop pt.)</v>
      </c>
      <c r="B78" s="7" t="str">
        <f>IFERROR(__xludf.DUMMYFUNCTION("""COMPUTED_VALUE"""),"170 Kg")</f>
        <v>170 Kg</v>
      </c>
      <c r="C78" s="7" t="str">
        <f>IFERROR(__xludf.DUMMYFUNCTION("""COMPUTED_VALUE"""),"Nett wt.")</f>
        <v>Nett wt.</v>
      </c>
      <c r="D78" s="7">
        <f>IFERROR(__xludf.DUMMYFUNCTION("""COMPUTED_VALUE"""),101.0)</f>
        <v>101</v>
      </c>
      <c r="E78" s="7" t="str">
        <f>IFERROR(__xludf.DUMMYFUNCTION("""COMPUTED_VALUE"""),"Per Kg")</f>
        <v>Per Kg</v>
      </c>
    </row>
    <row r="79">
      <c r="A79" s="6" t="str">
        <f>IFERROR(__xludf.DUMMYFUNCTION("""COMPUTED_VALUE"""),"Grease G Red Gel (Dark Red Calcium 90 deg Drop pt.)")</f>
        <v>Grease G Red Gel (Dark Red Calcium 90 deg Drop pt.)</v>
      </c>
      <c r="B79" s="7" t="str">
        <f>IFERROR(__xludf.DUMMYFUNCTION("""COMPUTED_VALUE"""),"170 Kg")</f>
        <v>170 Kg</v>
      </c>
      <c r="C79" s="7" t="str">
        <f>IFERROR(__xludf.DUMMYFUNCTION("""COMPUTED_VALUE"""),"Nett wt.")</f>
        <v>Nett wt.</v>
      </c>
      <c r="D79" s="7">
        <f>IFERROR(__xludf.DUMMYFUNCTION("""COMPUTED_VALUE"""),91.0)</f>
        <v>91</v>
      </c>
      <c r="E79" s="7" t="str">
        <f>IFERROR(__xludf.DUMMYFUNCTION("""COMPUTED_VALUE"""),"Per Kg")</f>
        <v>Per Kg</v>
      </c>
    </row>
    <row r="80">
      <c r="A80" s="6" t="str">
        <f>IFERROR(__xludf.DUMMYFUNCTION("""COMPUTED_VALUE"""),"Grease SLR ( Calcium)
(Green chassis 90 deg drop pt.)")</f>
        <v>Grease SLR ( Calcium)
(Green chassis 90 deg drop pt.)</v>
      </c>
      <c r="B80" s="7" t="str">
        <f>IFERROR(__xludf.DUMMYFUNCTION("""COMPUTED_VALUE"""),"170 Kg")</f>
        <v>170 Kg</v>
      </c>
      <c r="C80" s="7" t="str">
        <f>IFERROR(__xludf.DUMMYFUNCTION("""COMPUTED_VALUE"""),"Nett wt.")</f>
        <v>Nett wt.</v>
      </c>
      <c r="D80" s="7">
        <f>IFERROR(__xludf.DUMMYFUNCTION("""COMPUTED_VALUE"""),89.0)</f>
        <v>89</v>
      </c>
      <c r="E80" s="7" t="str">
        <f>IFERROR(__xludf.DUMMYFUNCTION("""COMPUTED_VALUE"""),"Per Kg")</f>
        <v>Per Kg</v>
      </c>
    </row>
    <row r="81">
      <c r="A81" s="6" t="str">
        <f>IFERROR(__xludf.DUMMYFUNCTION("""COMPUTED_VALUE"""),"Grease Wheel Bearing( Calcium)
(Green chassis 90 deg drop pt.)")</f>
        <v>Grease Wheel Bearing( Calcium)
(Green chassis 90 deg drop pt.)</v>
      </c>
      <c r="B81" s="7" t="str">
        <f>IFERROR(__xludf.DUMMYFUNCTION("""COMPUTED_VALUE"""),"170 Kg")</f>
        <v>170 Kg</v>
      </c>
      <c r="C81" s="7" t="str">
        <f>IFERROR(__xludf.DUMMYFUNCTION("""COMPUTED_VALUE"""),"Nett wt.")</f>
        <v>Nett wt.</v>
      </c>
      <c r="D81" s="7">
        <f>IFERROR(__xludf.DUMMYFUNCTION("""COMPUTED_VALUE"""),66.0)</f>
        <v>66</v>
      </c>
      <c r="E81" s="7" t="str">
        <f>IFERROR(__xludf.DUMMYFUNCTION("""COMPUTED_VALUE"""),"Per Kg")</f>
        <v>Per Kg</v>
      </c>
    </row>
    <row r="82">
      <c r="A82" s="6" t="str">
        <f>IFERROR(__xludf.DUMMYFUNCTION("""COMPUTED_VALUE"""),"
Item")</f>
        <v>
Item</v>
      </c>
      <c r="B82" s="7" t="str">
        <f>IFERROR(__xludf.DUMMYFUNCTION("""COMPUTED_VALUE"""),"Pack size")</f>
        <v>Pack size</v>
      </c>
      <c r="C82" s="7" t="str">
        <f>IFERROR(__xludf.DUMMYFUNCTION("""COMPUTED_VALUE"""),"Pack Qty. (liters)")</f>
        <v>Pack Qty. (liters)</v>
      </c>
      <c r="D82" s="7"/>
      <c r="E82" s="7"/>
    </row>
    <row r="83">
      <c r="A83" s="6" t="str">
        <f>IFERROR(__xludf.DUMMYFUNCTION("""COMPUTED_VALUE"""),"1 liter Rotavator Gear 140")</f>
        <v>1 liter Rotavator Gear 140</v>
      </c>
      <c r="B83" s="7" t="str">
        <f>IFERROR(__xludf.DUMMYFUNCTION("""COMPUTED_VALUE"""),"20x1 liter case")</f>
        <v>20x1 liter case</v>
      </c>
      <c r="C83" s="7" t="str">
        <f>IFERROR(__xludf.DUMMYFUNCTION("""COMPUTED_VALUE"""),"20")</f>
        <v>20</v>
      </c>
      <c r="D83" s="7">
        <f>IFERROR(__xludf.DUMMYFUNCTION("""COMPUTED_VALUE"""),116.0)</f>
        <v>116</v>
      </c>
      <c r="E83" s="7" t="str">
        <f>IFERROR(__xludf.DUMMYFUNCTION("""COMPUTED_VALUE"""),"Per liter")</f>
        <v>Per liter</v>
      </c>
    </row>
    <row r="84">
      <c r="A84" s="6" t="str">
        <f>IFERROR(__xludf.DUMMYFUNCTION("""COMPUTED_VALUE"""),"1 liter  Cutting Oil")</f>
        <v>1 liter  Cutting Oil</v>
      </c>
      <c r="B84" s="7" t="str">
        <f>IFERROR(__xludf.DUMMYFUNCTION("""COMPUTED_VALUE"""),"20x1 liter case")</f>
        <v>20x1 liter case</v>
      </c>
      <c r="C84" s="7" t="str">
        <f>IFERROR(__xludf.DUMMYFUNCTION("""COMPUTED_VALUE"""),"20")</f>
        <v>20</v>
      </c>
      <c r="D84" s="7">
        <f>IFERROR(__xludf.DUMMYFUNCTION("""COMPUTED_VALUE"""),134.0)</f>
        <v>134</v>
      </c>
      <c r="E84" s="7" t="str">
        <f>IFERROR(__xludf.DUMMYFUNCTION("""COMPUTED_VALUE"""),"Per liter")</f>
        <v>Per liter</v>
      </c>
    </row>
    <row r="85">
      <c r="A85" s="6" t="str">
        <f>IFERROR(__xludf.DUMMYFUNCTION("""COMPUTED_VALUE"""),"5 L Hydraulic Oil-68 (Water white Color- HLP)")</f>
        <v>5 L Hydraulic Oil-68 (Water white Color- HLP)</v>
      </c>
      <c r="B85" s="7" t="str">
        <f>IFERROR(__xludf.DUMMYFUNCTION("""COMPUTED_VALUE"""),"4x5 liter case")</f>
        <v>4x5 liter case</v>
      </c>
      <c r="C85" s="7" t="str">
        <f>IFERROR(__xludf.DUMMYFUNCTION("""COMPUTED_VALUE"""),"20")</f>
        <v>20</v>
      </c>
      <c r="D85" s="7">
        <f>IFERROR(__xludf.DUMMYFUNCTION("""COMPUTED_VALUE"""),109.0)</f>
        <v>109</v>
      </c>
      <c r="E85" s="7" t="str">
        <f>IFERROR(__xludf.DUMMYFUNCTION("""COMPUTED_VALUE"""),"Per liter")</f>
        <v>Per liter</v>
      </c>
    </row>
    <row r="86">
      <c r="A86" s="6" t="str">
        <f>IFERROR(__xludf.DUMMYFUNCTION("""COMPUTED_VALUE"""),"5 L Hydraulic Oil-68 (Yellow Color- Group 1)")</f>
        <v>5 L Hydraulic Oil-68 (Yellow Color- Group 1)</v>
      </c>
      <c r="B86" s="7" t="str">
        <f>IFERROR(__xludf.DUMMYFUNCTION("""COMPUTED_VALUE"""),"4x5 liter case")</f>
        <v>4x5 liter case</v>
      </c>
      <c r="C86" s="7" t="str">
        <f>IFERROR(__xludf.DUMMYFUNCTION("""COMPUTED_VALUE"""),"20")</f>
        <v>20</v>
      </c>
      <c r="D86" s="7">
        <f>IFERROR(__xludf.DUMMYFUNCTION("""COMPUTED_VALUE"""),99.0)</f>
        <v>99</v>
      </c>
      <c r="E86" s="7" t="str">
        <f>IFERROR(__xludf.DUMMYFUNCTION("""COMPUTED_VALUE"""),"Per liter")</f>
        <v>Per liter</v>
      </c>
    </row>
    <row r="87">
      <c r="A87" s="6" t="str">
        <f>IFERROR(__xludf.DUMMYFUNCTION("""COMPUTED_VALUE"""),"5 liter Rotavator Oil")</f>
        <v>5 liter Rotavator Oil</v>
      </c>
      <c r="B87" s="7" t="str">
        <f>IFERROR(__xludf.DUMMYFUNCTION("""COMPUTED_VALUE"""),"4x5 liter case")</f>
        <v>4x5 liter case</v>
      </c>
      <c r="C87" s="7" t="str">
        <f>IFERROR(__xludf.DUMMYFUNCTION("""COMPUTED_VALUE"""),"20")</f>
        <v>20</v>
      </c>
      <c r="D87" s="7">
        <f>IFERROR(__xludf.DUMMYFUNCTION("""COMPUTED_VALUE"""),110.0)</f>
        <v>110</v>
      </c>
      <c r="E87" s="7" t="str">
        <f>IFERROR(__xludf.DUMMYFUNCTION("""COMPUTED_VALUE"""),"Per liter")</f>
        <v>Per liter</v>
      </c>
    </row>
    <row r="88">
      <c r="A88" s="6" t="str">
        <f>IFERROR(__xludf.DUMMYFUNCTION("""COMPUTED_VALUE"""),"5 liter Air Compressor Oil")</f>
        <v>5 liter Air Compressor Oil</v>
      </c>
      <c r="B88" s="7" t="str">
        <f>IFERROR(__xludf.DUMMYFUNCTION("""COMPUTED_VALUE"""),"4x5 liter case")</f>
        <v>4x5 liter case</v>
      </c>
      <c r="C88" s="7" t="str">
        <f>IFERROR(__xludf.DUMMYFUNCTION("""COMPUTED_VALUE"""),"20")</f>
        <v>20</v>
      </c>
      <c r="D88" s="7">
        <f>IFERROR(__xludf.DUMMYFUNCTION("""COMPUTED_VALUE"""),130.0)</f>
        <v>130</v>
      </c>
      <c r="E88" s="7" t="str">
        <f>IFERROR(__xludf.DUMMYFUNCTION("""COMPUTED_VALUE"""),"Per liter")</f>
        <v>Per liter</v>
      </c>
    </row>
    <row r="89">
      <c r="A89" s="6" t="str">
        <f>IFERROR(__xludf.DUMMYFUNCTION("""COMPUTED_VALUE"""),"5 liter Cutting Oil")</f>
        <v>5 liter Cutting Oil</v>
      </c>
      <c r="B89" s="7" t="str">
        <f>IFERROR(__xludf.DUMMYFUNCTION("""COMPUTED_VALUE"""),"4x5 liter case")</f>
        <v>4x5 liter case</v>
      </c>
      <c r="C89" s="7" t="str">
        <f>IFERROR(__xludf.DUMMYFUNCTION("""COMPUTED_VALUE"""),"20")</f>
        <v>20</v>
      </c>
      <c r="D89" s="7">
        <f>IFERROR(__xludf.DUMMYFUNCTION("""COMPUTED_VALUE"""),128.0)</f>
        <v>128</v>
      </c>
      <c r="E89" s="7" t="str">
        <f>IFERROR(__xludf.DUMMYFUNCTION("""COMPUTED_VALUE"""),"Per liter")</f>
        <v>Per liter</v>
      </c>
    </row>
    <row r="90">
      <c r="A90" s="6" t="str">
        <f>IFERROR(__xludf.DUMMYFUNCTION("""COMPUTED_VALUE"""),"10 liter Bucket Hydraulic Oil-32/46/68")</f>
        <v>10 liter Bucket Hydraulic Oil-32/46/68</v>
      </c>
      <c r="B90" s="7" t="str">
        <f>IFERROR(__xludf.DUMMYFUNCTION("""COMPUTED_VALUE"""),"10 liter Bucket")</f>
        <v>10 liter Bucket</v>
      </c>
      <c r="C90" s="7" t="str">
        <f>IFERROR(__xludf.DUMMYFUNCTION("""COMPUTED_VALUE"""),"10")</f>
        <v>10</v>
      </c>
      <c r="D90" s="7">
        <f>IFERROR(__xludf.DUMMYFUNCTION("""COMPUTED_VALUE"""),95.0)</f>
        <v>95</v>
      </c>
      <c r="E90" s="7" t="str">
        <f>IFERROR(__xludf.DUMMYFUNCTION("""COMPUTED_VALUE"""),"Per liter")</f>
        <v>Per liter</v>
      </c>
    </row>
    <row r="91">
      <c r="A91" s="6" t="str">
        <f>IFERROR(__xludf.DUMMYFUNCTION("""COMPUTED_VALUE"""),"10 liter Bucket Hydraulic oil HLP-32/46/68")</f>
        <v>10 liter Bucket Hydraulic oil HLP-32/46/68</v>
      </c>
      <c r="B91" s="7" t="str">
        <f>IFERROR(__xludf.DUMMYFUNCTION("""COMPUTED_VALUE"""),"10 liter Bucket")</f>
        <v>10 liter Bucket</v>
      </c>
      <c r="C91" s="7" t="str">
        <f>IFERROR(__xludf.DUMMYFUNCTION("""COMPUTED_VALUE"""),"10")</f>
        <v>10</v>
      </c>
      <c r="D91" s="7">
        <f>IFERROR(__xludf.DUMMYFUNCTION("""COMPUTED_VALUE"""),105.0)</f>
        <v>105</v>
      </c>
      <c r="E91" s="7" t="str">
        <f>IFERROR(__xludf.DUMMYFUNCTION("""COMPUTED_VALUE"""),"Per liter")</f>
        <v>Per liter</v>
      </c>
    </row>
    <row r="92">
      <c r="A92" s="6" t="str">
        <f>IFERROR(__xludf.DUMMYFUNCTION("""COMPUTED_VALUE"""),"10 liter Bucket Gear  EP 150")</f>
        <v>10 liter Bucket Gear  EP 150</v>
      </c>
      <c r="B92" s="7" t="str">
        <f>IFERROR(__xludf.DUMMYFUNCTION("""COMPUTED_VALUE"""),"10 liter Bucket")</f>
        <v>10 liter Bucket</v>
      </c>
      <c r="C92" s="7" t="str">
        <f>IFERROR(__xludf.DUMMYFUNCTION("""COMPUTED_VALUE"""),"10")</f>
        <v>10</v>
      </c>
      <c r="D92" s="7">
        <f>IFERROR(__xludf.DUMMYFUNCTION("""COMPUTED_VALUE"""),118.0)</f>
        <v>118</v>
      </c>
      <c r="E92" s="7" t="str">
        <f>IFERROR(__xludf.DUMMYFUNCTION("""COMPUTED_VALUE"""),"Per liter")</f>
        <v>Per liter</v>
      </c>
    </row>
    <row r="93">
      <c r="A93" s="6" t="str">
        <f>IFERROR(__xludf.DUMMYFUNCTION("""COMPUTED_VALUE"""),"10 liter Bucket Gear EP 220")</f>
        <v>10 liter Bucket Gear EP 220</v>
      </c>
      <c r="B93" s="7" t="str">
        <f>IFERROR(__xludf.DUMMYFUNCTION("""COMPUTED_VALUE"""),"10 liter Bucket")</f>
        <v>10 liter Bucket</v>
      </c>
      <c r="C93" s="7" t="str">
        <f>IFERROR(__xludf.DUMMYFUNCTION("""COMPUTED_VALUE"""),"10")</f>
        <v>10</v>
      </c>
      <c r="D93" s="7">
        <f>IFERROR(__xludf.DUMMYFUNCTION("""COMPUTED_VALUE"""),120.0)</f>
        <v>120</v>
      </c>
      <c r="E93" s="7" t="str">
        <f>IFERROR(__xludf.DUMMYFUNCTION("""COMPUTED_VALUE"""),"Per liter")</f>
        <v>Per liter</v>
      </c>
    </row>
    <row r="94">
      <c r="A94" s="6" t="str">
        <f>IFERROR(__xludf.DUMMYFUNCTION("""COMPUTED_VALUE"""),"10 liter Bucket Gear EP 320")</f>
        <v>10 liter Bucket Gear EP 320</v>
      </c>
      <c r="B94" s="7" t="str">
        <f>IFERROR(__xludf.DUMMYFUNCTION("""COMPUTED_VALUE"""),"10 liter Bucket")</f>
        <v>10 liter Bucket</v>
      </c>
      <c r="C94" s="7" t="str">
        <f>IFERROR(__xludf.DUMMYFUNCTION("""COMPUTED_VALUE"""),"10")</f>
        <v>10</v>
      </c>
      <c r="D94" s="7">
        <f>IFERROR(__xludf.DUMMYFUNCTION("""COMPUTED_VALUE"""),123.0)</f>
        <v>123</v>
      </c>
      <c r="E94" s="7" t="str">
        <f>IFERROR(__xludf.DUMMYFUNCTION("""COMPUTED_VALUE"""),"Per liter")</f>
        <v>Per liter</v>
      </c>
    </row>
    <row r="95">
      <c r="A95" s="6" t="str">
        <f>IFERROR(__xludf.DUMMYFUNCTION("""COMPUTED_VALUE"""),"10 Liter Bucket Gear EP 460")</f>
        <v>10 Liter Bucket Gear EP 460</v>
      </c>
      <c r="B95" s="7" t="str">
        <f>IFERROR(__xludf.DUMMYFUNCTION("""COMPUTED_VALUE"""),"10 liter Bucket")</f>
        <v>10 liter Bucket</v>
      </c>
      <c r="C95" s="7" t="str">
        <f>IFERROR(__xludf.DUMMYFUNCTION("""COMPUTED_VALUE"""),"10")</f>
        <v>10</v>
      </c>
      <c r="D95" s="7">
        <f>IFERROR(__xludf.DUMMYFUNCTION("""COMPUTED_VALUE"""),126.0)</f>
        <v>126</v>
      </c>
      <c r="E95" s="7" t="str">
        <f>IFERROR(__xludf.DUMMYFUNCTION("""COMPUTED_VALUE"""),"Per liter")</f>
        <v>Per liter</v>
      </c>
    </row>
    <row r="96">
      <c r="A96" s="6" t="str">
        <f>IFERROR(__xludf.DUMMYFUNCTION("""COMPUTED_VALUE"""),"*GST 18 % EXTRA ")</f>
        <v>*GST 18 % EXTRA </v>
      </c>
      <c r="B96" s="7"/>
      <c r="C96" s="7"/>
      <c r="D96" s="7"/>
      <c r="E96" s="7"/>
    </row>
    <row r="97">
      <c r="A97" s="6" t="str">
        <f>IFERROR(__xludf.DUMMYFUNCTION("""COMPUTED_VALUE"""),"EX_ FACTORY PRICE (FREIGHT EXTRA)")</f>
        <v>EX_ FACTORY PRICE (FREIGHT EXTRA)</v>
      </c>
      <c r="B97" s="7"/>
      <c r="C97" s="7"/>
      <c r="D97" s="7"/>
      <c r="E97" s="7"/>
    </row>
    <row r="98">
      <c r="A98" s="6"/>
      <c r="B98" s="7"/>
      <c r="C98" s="7"/>
      <c r="D98" s="7"/>
      <c r="E98" s="7"/>
    </row>
    <row r="99">
      <c r="A99" s="6"/>
      <c r="B99" s="7"/>
      <c r="C99" s="7"/>
      <c r="D99" s="7"/>
      <c r="E99" s="7"/>
    </row>
    <row r="100">
      <c r="A100" s="6"/>
      <c r="B100" s="7"/>
      <c r="C100" s="7"/>
      <c r="D100" s="7"/>
      <c r="E100" s="7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